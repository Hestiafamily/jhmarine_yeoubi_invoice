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wndyd\Desktop\invoice\"/>
    </mc:Choice>
  </mc:AlternateContent>
  <xr:revisionPtr revIDLastSave="0" documentId="13_ncr:1_{4C96AC70-D315-494A-9793-A7BC07DC839A}" xr6:coauthVersionLast="47" xr6:coauthVersionMax="47" xr10:uidLastSave="{00000000-0000-0000-0000-000000000000}"/>
  <bookViews>
    <workbookView xWindow="4180" yWindow="4180" windowWidth="14670" windowHeight="10220" firstSheet="2" activeTab="2" xr2:uid="{00000000-000D-0000-FFFF-FFFF00000000}"/>
  </bookViews>
  <sheets>
    <sheet name="HOTEL" sheetId="53" r:id="rId1"/>
    <sheet name="HOTEL BILL" sheetId="350" r:id="rId2"/>
    <sheet name="RESTAURANT" sheetId="174" r:id="rId3"/>
    <sheet name="RESTAURANT BILL" sheetId="334" r:id="rId4"/>
  </sheets>
  <definedNames>
    <definedName name="_xlnm.Print_Area" localSheetId="1">'HOTEL BILL'!$A$1:$I$46</definedName>
    <definedName name="_xlnm.Print_Area" localSheetId="3">'RESTAURANT BILL'!$A$1:$I$47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" i="350" l="1"/>
  <c r="K27" i="350"/>
  <c r="J27" i="350"/>
  <c r="L27" i="350" l="1"/>
  <c r="K26" i="334" l="1"/>
  <c r="J26" i="334"/>
  <c r="I39" i="334" l="1"/>
  <c r="L26" i="334"/>
  <c r="I35" i="53" l="1"/>
  <c r="A34" i="53"/>
  <c r="A33" i="53"/>
  <c r="I36" i="17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A1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A14" authorId="0" shapeId="0" xr:uid="{B5E534AD-B5C2-4C6D-BA4E-0B9D2A8DD20F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<sst xmlns="http://schemas.openxmlformats.org/spreadsheetml/2006/main" count="119" uniqueCount="90">
  <si>
    <t xml:space="preserve">TOTAL </t>
    <phoneticPr fontId="1" type="noConversion"/>
  </si>
  <si>
    <t>KRW</t>
    <phoneticPr fontId="1" type="noConversion"/>
  </si>
  <si>
    <t>BALANCE DUE</t>
    <phoneticPr fontId="1" type="noConversion"/>
  </si>
  <si>
    <t>I agree that my liability for this bill is not waived and agree to hold personal liability in this case that the</t>
    <phoneticPr fontId="1" type="noConversion"/>
  </si>
  <si>
    <r>
      <rPr>
        <sz val="10"/>
        <color theme="1"/>
        <rFont val="돋움"/>
        <family val="3"/>
        <charset val="129"/>
      </rPr>
      <t>본인은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청구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금액에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의무를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거부하지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않으며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청구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금액의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일부를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지정인</t>
    </r>
    <r>
      <rPr>
        <sz val="10"/>
        <color theme="1"/>
        <rFont val="Arial"/>
        <family val="2"/>
      </rPr>
      <t>,</t>
    </r>
    <phoneticPr fontId="1" type="noConversion"/>
  </si>
  <si>
    <r>
      <rPr>
        <sz val="10"/>
        <color theme="1"/>
        <rFont val="돋움"/>
        <family val="3"/>
        <charset val="129"/>
      </rPr>
      <t>지정회사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지정단체에서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지급하지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본인이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책임질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것에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동의합니다</t>
    </r>
    <r>
      <rPr>
        <sz val="10"/>
        <color theme="1"/>
        <rFont val="Arial"/>
        <family val="2"/>
      </rPr>
      <t>.</t>
    </r>
    <phoneticPr fontId="1" type="noConversion"/>
  </si>
  <si>
    <t>indicated person, company or association fails to pay for part or the whole amount of the charges.</t>
    <phoneticPr fontId="1" type="noConversion"/>
  </si>
  <si>
    <t>NO</t>
    <phoneticPr fontId="1" type="noConversion"/>
  </si>
  <si>
    <t>AMOUNT</t>
    <phoneticPr fontId="1" type="noConversion"/>
  </si>
  <si>
    <t>숙박</t>
    <phoneticPr fontId="1" type="noConversion"/>
  </si>
  <si>
    <t>식사</t>
    <phoneticPr fontId="1" type="noConversion"/>
  </si>
  <si>
    <t>HOTEL YEOUBI</t>
    <phoneticPr fontId="1" type="noConversion"/>
  </si>
  <si>
    <t>14, Saneup-ro 647 beon-gil, Nam-gu,</t>
    <phoneticPr fontId="1" type="noConversion"/>
  </si>
  <si>
    <t>ULSAN, Korea</t>
    <phoneticPr fontId="1" type="noConversion"/>
  </si>
  <si>
    <t>Tel : +82-52-267-7777</t>
    <phoneticPr fontId="1" type="noConversion"/>
  </si>
  <si>
    <t>Fax : +82-52-917-8255</t>
    <phoneticPr fontId="1" type="noConversion"/>
  </si>
  <si>
    <t>INVOICE</t>
    <phoneticPr fontId="1" type="noConversion"/>
  </si>
  <si>
    <t>DATE</t>
    <phoneticPr fontId="1" type="noConversion"/>
  </si>
  <si>
    <t>DESCRIPTION</t>
    <phoneticPr fontId="1" type="noConversion"/>
  </si>
  <si>
    <t>14, Saneup-ro 647 beon-gil, Nam-gu,</t>
    <phoneticPr fontId="1" type="noConversion"/>
  </si>
  <si>
    <t>ULSAN, Korea</t>
    <phoneticPr fontId="1" type="noConversion"/>
  </si>
  <si>
    <t>Tel : +82-52-267-7777</t>
    <phoneticPr fontId="1" type="noConversion"/>
  </si>
  <si>
    <t>Fax : +82-52-917-8255</t>
    <phoneticPr fontId="1" type="noConversion"/>
  </si>
  <si>
    <t>HOTEL YEOUBI</t>
    <phoneticPr fontId="1" type="noConversion"/>
  </si>
  <si>
    <t>Our Bank Account</t>
    <phoneticPr fontId="1" type="noConversion"/>
  </si>
  <si>
    <r>
      <t xml:space="preserve">BANK NAME : </t>
    </r>
    <r>
      <rPr>
        <b/>
        <sz val="10"/>
        <rFont val="돋움"/>
        <family val="3"/>
        <charset val="129"/>
      </rPr>
      <t>신협</t>
    </r>
    <r>
      <rPr>
        <b/>
        <sz val="10"/>
        <rFont val="Verdana"/>
        <family val="2"/>
      </rPr>
      <t xml:space="preserve"> BANK</t>
    </r>
    <phoneticPr fontId="21" type="noConversion"/>
  </si>
  <si>
    <t>ACCOUNT NO : 132-092-689047</t>
    <phoneticPr fontId="21" type="noConversion"/>
  </si>
  <si>
    <r>
      <rPr>
        <b/>
        <sz val="10"/>
        <rFont val="돋움"/>
        <family val="3"/>
        <charset val="129"/>
      </rPr>
      <t>권내라</t>
    </r>
    <r>
      <rPr>
        <b/>
        <sz val="10"/>
        <rFont val="Verdana"/>
        <family val="2"/>
      </rPr>
      <t>(Kwon Naera</t>
    </r>
    <r>
      <rPr>
        <b/>
        <sz val="10"/>
        <rFont val="Verdana"/>
        <family val="2"/>
      </rPr>
      <t>)</t>
    </r>
    <phoneticPr fontId="1" type="noConversion"/>
  </si>
  <si>
    <t xml:space="preserve">GRAND TOTAL </t>
    <phoneticPr fontId="1" type="noConversion"/>
  </si>
  <si>
    <t>KRW</t>
    <phoneticPr fontId="1" type="noConversion"/>
  </si>
  <si>
    <t>BALANCE DUE</t>
    <phoneticPr fontId="1" type="noConversion"/>
  </si>
  <si>
    <t>I agree that my liability for this bill is not waived and agree to hold personal liability in this case that the</t>
    <phoneticPr fontId="1" type="noConversion"/>
  </si>
  <si>
    <t>indicated person, company or association fails to pay for part or the whole amount of the charges.</t>
    <phoneticPr fontId="1" type="noConversion"/>
  </si>
  <si>
    <r>
      <rPr>
        <sz val="10"/>
        <color theme="1"/>
        <rFont val="돋움"/>
        <family val="3"/>
        <charset val="129"/>
      </rPr>
      <t>본인은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청구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금액에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의무를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거부하지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않으며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청구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금액의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일부를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지정인</t>
    </r>
    <r>
      <rPr>
        <sz val="10"/>
        <color theme="1"/>
        <rFont val="Arial"/>
        <family val="2"/>
      </rPr>
      <t>,</t>
    </r>
    <phoneticPr fontId="1" type="noConversion"/>
  </si>
  <si>
    <r>
      <rPr>
        <sz val="10"/>
        <color theme="1"/>
        <rFont val="돋움"/>
        <family val="3"/>
        <charset val="129"/>
      </rPr>
      <t>지정회사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지정단체에서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지급하지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본인이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책임질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것에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동의합니다</t>
    </r>
    <r>
      <rPr>
        <sz val="10"/>
        <color theme="1"/>
        <rFont val="Arial"/>
        <family val="2"/>
      </rPr>
      <t>.</t>
    </r>
    <phoneticPr fontId="1" type="noConversion"/>
  </si>
  <si>
    <t xml:space="preserve">Agent name : </t>
    <phoneticPr fontId="1" type="noConversion"/>
  </si>
  <si>
    <t xml:space="preserve">Vessel name : </t>
    <phoneticPr fontId="1" type="noConversion"/>
  </si>
  <si>
    <t>HOTEL YEOUBI</t>
    <phoneticPr fontId="1" type="noConversion"/>
  </si>
  <si>
    <t>14, Saneup-ro 647 beon-gil, Nam-gu,</t>
    <phoneticPr fontId="1" type="noConversion"/>
  </si>
  <si>
    <t>ULSAN, Korea</t>
    <phoneticPr fontId="1" type="noConversion"/>
  </si>
  <si>
    <t>Tel : +82-52-267-7777</t>
    <phoneticPr fontId="1" type="noConversion"/>
  </si>
  <si>
    <t>Fax : +82-52-917-8255</t>
    <phoneticPr fontId="1" type="noConversion"/>
  </si>
  <si>
    <t>NO</t>
    <phoneticPr fontId="1" type="noConversion"/>
  </si>
  <si>
    <t>CHECK OUT DATE</t>
    <phoneticPr fontId="1" type="noConversion"/>
  </si>
  <si>
    <t>GUEST NAME</t>
    <phoneticPr fontId="1" type="noConversion"/>
  </si>
  <si>
    <t>AMOUNT</t>
    <phoneticPr fontId="1" type="noConversion"/>
  </si>
  <si>
    <t>KRW</t>
    <phoneticPr fontId="1" type="noConversion"/>
  </si>
  <si>
    <t>BALANCE DUE</t>
    <phoneticPr fontId="1" type="noConversion"/>
  </si>
  <si>
    <t>I agree that my liability for this bill is not waived and agree to hold personal liability in this case that the</t>
    <phoneticPr fontId="1" type="noConversion"/>
  </si>
  <si>
    <t>indicated person, company or association fails to pay for part or the whole amount of the charges.</t>
    <phoneticPr fontId="1" type="noConversion"/>
  </si>
  <si>
    <r>
      <rPr>
        <sz val="10"/>
        <color theme="1"/>
        <rFont val="돋움"/>
        <family val="3"/>
        <charset val="129"/>
      </rPr>
      <t>본인은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청구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금액에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의무를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거부하지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않으며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청구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금액의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일부를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지정인</t>
    </r>
    <r>
      <rPr>
        <sz val="10"/>
        <color theme="1"/>
        <rFont val="Arial"/>
        <family val="2"/>
      </rPr>
      <t>,</t>
    </r>
    <phoneticPr fontId="1" type="noConversion"/>
  </si>
  <si>
    <r>
      <rPr>
        <sz val="10"/>
        <color theme="1"/>
        <rFont val="돋움"/>
        <family val="3"/>
        <charset val="129"/>
      </rPr>
      <t>지정회사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지정단체에서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지급하지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본인이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책임질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것에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동의합니다</t>
    </r>
    <r>
      <rPr>
        <sz val="10"/>
        <color theme="1"/>
        <rFont val="Arial"/>
        <family val="2"/>
      </rPr>
      <t>.</t>
    </r>
    <phoneticPr fontId="1" type="noConversion"/>
  </si>
  <si>
    <t xml:space="preserve">Agent name : </t>
    <phoneticPr fontId="1" type="noConversion"/>
  </si>
  <si>
    <t xml:space="preserve">Vessel name : </t>
    <phoneticPr fontId="1" type="noConversion"/>
  </si>
  <si>
    <t>Room  No :</t>
    <phoneticPr fontId="1" type="noConversion"/>
  </si>
  <si>
    <t>Nationality :</t>
    <phoneticPr fontId="1" type="noConversion"/>
  </si>
  <si>
    <t>DONGJIN SHIPPING</t>
  </si>
  <si>
    <r>
      <t xml:space="preserve">BANK NAME : </t>
    </r>
    <r>
      <rPr>
        <b/>
        <sz val="10"/>
        <rFont val="돋움"/>
        <family val="3"/>
        <charset val="129"/>
      </rPr>
      <t>경남</t>
    </r>
    <r>
      <rPr>
        <b/>
        <sz val="10"/>
        <rFont val="Verdana"/>
        <family val="2"/>
      </rPr>
      <t xml:space="preserve"> BANK</t>
    </r>
    <phoneticPr fontId="21" type="noConversion"/>
  </si>
  <si>
    <t>ACCOUNT NO : 568-21-0183296</t>
    <phoneticPr fontId="21" type="noConversion"/>
  </si>
  <si>
    <r>
      <rPr>
        <b/>
        <sz val="10"/>
        <rFont val="돋움"/>
        <family val="3"/>
        <charset val="129"/>
      </rPr>
      <t>김미숙</t>
    </r>
    <r>
      <rPr>
        <b/>
        <sz val="10"/>
        <rFont val="Verdana"/>
        <family val="2"/>
      </rPr>
      <t>(Kim Misuk)</t>
    </r>
    <phoneticPr fontId="1" type="noConversion"/>
  </si>
  <si>
    <t>Total :</t>
    <phoneticPr fontId="1" type="noConversion"/>
  </si>
  <si>
    <t>TOTAL INVOICE (HOTEL)</t>
    <phoneticPr fontId="1" type="noConversion"/>
  </si>
  <si>
    <t>HOTEL RESTAURANT</t>
    <phoneticPr fontId="1" type="noConversion"/>
  </si>
  <si>
    <t>TOTAL INVOICE (RESTAURANT)</t>
    <phoneticPr fontId="1" type="noConversion"/>
  </si>
  <si>
    <t xml:space="preserve">Check in Date : </t>
    <phoneticPr fontId="1" type="noConversion"/>
  </si>
  <si>
    <t xml:space="preserve">Check out Date : </t>
    <phoneticPr fontId="1" type="noConversion"/>
  </si>
  <si>
    <t>HOTEL RESTAURANT</t>
    <phoneticPr fontId="1" type="noConversion"/>
  </si>
  <si>
    <t>14, Saneup-ro 647 beon-gil, Nam-gu,</t>
    <phoneticPr fontId="1" type="noConversion"/>
  </si>
  <si>
    <t>ULSAN, Korea</t>
    <phoneticPr fontId="1" type="noConversion"/>
  </si>
  <si>
    <t>Tel : +82-52-267-7777</t>
    <phoneticPr fontId="1" type="noConversion"/>
  </si>
  <si>
    <t>HOTEL YEOUBI</t>
    <phoneticPr fontId="1" type="noConversion"/>
  </si>
  <si>
    <t xml:space="preserve">Agent name : </t>
    <phoneticPr fontId="1" type="noConversion"/>
  </si>
  <si>
    <t>Guest name :</t>
    <phoneticPr fontId="1" type="noConversion"/>
  </si>
  <si>
    <t xml:space="preserve">Check in Date : </t>
    <phoneticPr fontId="1" type="noConversion"/>
  </si>
  <si>
    <t>INVOICE</t>
    <phoneticPr fontId="1" type="noConversion"/>
  </si>
  <si>
    <t>NO</t>
    <phoneticPr fontId="1" type="noConversion"/>
  </si>
  <si>
    <t>DATE</t>
    <phoneticPr fontId="1" type="noConversion"/>
  </si>
  <si>
    <t>DESCRIPTION</t>
    <phoneticPr fontId="1" type="noConversion"/>
  </si>
  <si>
    <t>Breakfast</t>
    <phoneticPr fontId="1" type="noConversion"/>
  </si>
  <si>
    <t>Lunch</t>
    <phoneticPr fontId="1" type="noConversion"/>
  </si>
  <si>
    <t>Dinner</t>
    <phoneticPr fontId="1" type="noConversion"/>
  </si>
  <si>
    <t>숙박</t>
    <phoneticPr fontId="1" type="noConversion"/>
  </si>
  <si>
    <t>식사</t>
    <phoneticPr fontId="1" type="noConversion"/>
  </si>
  <si>
    <t xml:space="preserve">TOTAL </t>
    <phoneticPr fontId="1" type="noConversion"/>
  </si>
  <si>
    <t>KRW</t>
    <phoneticPr fontId="1" type="noConversion"/>
  </si>
  <si>
    <t>BALANCE DUE</t>
    <phoneticPr fontId="1" type="noConversion"/>
  </si>
  <si>
    <t>I agree that my liability for this bill is not waived and agree to hold personal liability in this case that the</t>
    <phoneticPr fontId="1" type="noConversion"/>
  </si>
  <si>
    <t>indicated person, company or association fails to pay for part or the whole amount of the charges.</t>
    <phoneticPr fontId="1" type="noConversion"/>
  </si>
  <si>
    <r>
      <rPr>
        <sz val="10"/>
        <color theme="1"/>
        <rFont val="돋움"/>
        <family val="3"/>
        <charset val="129"/>
      </rPr>
      <t>본인은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청구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금액에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의무를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거부하지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않으며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청구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금액의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일부를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지정인</t>
    </r>
    <r>
      <rPr>
        <sz val="10"/>
        <color theme="1"/>
        <rFont val="Arial"/>
        <family val="2"/>
      </rPr>
      <t>,</t>
    </r>
    <phoneticPr fontId="1" type="noConversion"/>
  </si>
  <si>
    <r>
      <rPr>
        <sz val="10"/>
        <color theme="1"/>
        <rFont val="돋움"/>
        <family val="3"/>
        <charset val="129"/>
      </rPr>
      <t>지정회사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지정단체에서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지급하지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본인이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책임질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것에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동의합니다</t>
    </r>
    <r>
      <rPr>
        <sz val="10"/>
        <color theme="1"/>
        <rFont val="Arial"/>
        <family val="2"/>
      </rPr>
      <t>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</si>
</sst>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[$-409]d&quot;-&quot;mmm&quot;-&quot;yy;@"/>
    <numFmt numFmtId="177" formatCode="0_);[Red]\(0\)"/>
    <numFmt numFmtId="178" formatCode="#,##0_);[Red]\(#,##0\)"/>
    <numFmt numFmtId="179" formatCode="0_ 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7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8"/>
      <color rgb="FF000000"/>
      <name val="맑은 고딕"/>
      <family val="3"/>
      <charset val="129"/>
      <scheme val="major"/>
    </font>
    <font>
      <b/>
      <sz val="18"/>
      <color theme="1"/>
      <name val="맑은 고딕"/>
      <family val="3"/>
      <charset val="129"/>
      <scheme val="minor"/>
    </font>
    <font>
      <sz val="10"/>
      <color rgb="FF000000"/>
      <name val="함초롬바탕"/>
      <family val="1"/>
      <charset val="129"/>
    </font>
    <font>
      <b/>
      <sz val="11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theme="1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0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1" fillId="0" borderId="0" applyFon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>
      <alignment vertical="center"/>
    </xf>
    <xf numFmtId="41" fontId="0" fillId="0" borderId="0" xfId="1" applyFont="1">
      <alignment vertical="center"/>
    </xf>
    <xf numFmtId="41" fontId="0" fillId="0" borderId="2" xfId="1" applyFont="1" applyBorder="1">
      <alignment vertical="center"/>
    </xf>
    <xf numFmtId="0" fontId="12" fillId="0" borderId="0" xfId="0" applyFont="1">
      <alignment vertical="center"/>
    </xf>
    <xf numFmtId="0" fontId="8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1" fontId="0" fillId="0" borderId="0" xfId="0" applyNumberFormat="1">
      <alignment vertical="center"/>
    </xf>
    <xf numFmtId="177" fontId="0" fillId="0" borderId="0" xfId="0" applyNumberFormat="1">
      <alignment vertical="center"/>
    </xf>
    <xf numFmtId="41" fontId="0" fillId="0" borderId="0" xfId="1" applyFont="1" applyBorder="1">
      <alignment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41" fontId="16" fillId="0" borderId="2" xfId="1" applyFont="1" applyBorder="1">
      <alignment vertical="center"/>
    </xf>
    <xf numFmtId="0" fontId="9" fillId="0" borderId="0" xfId="0" applyFont="1">
      <alignment vertical="center"/>
    </xf>
    <xf numFmtId="176" fontId="18" fillId="0" borderId="0" xfId="0" applyNumberFormat="1" applyFont="1">
      <alignment vertical="center"/>
    </xf>
    <xf numFmtId="0" fontId="19" fillId="0" borderId="0" xfId="0" applyFont="1">
      <alignment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9" fontId="10" fillId="0" borderId="0" xfId="0" applyNumberFormat="1" applyFont="1" applyAlignment="1">
      <alignment horizontal="left" vertical="center"/>
    </xf>
    <xf numFmtId="3" fontId="10" fillId="0" borderId="0" xfId="0" applyNumberFormat="1" applyFont="1" applyAlignment="1">
      <alignment horizontal="left" vertical="center"/>
    </xf>
    <xf numFmtId="3" fontId="14" fillId="0" borderId="0" xfId="0" applyNumberFormat="1" applyFont="1" applyAlignment="1">
      <alignment horizontal="left" vertical="center"/>
    </xf>
    <xf numFmtId="176" fontId="0" fillId="0" borderId="0" xfId="0" applyNumberFormat="1">
      <alignment vertical="center"/>
    </xf>
    <xf numFmtId="0" fontId="8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41" fontId="0" fillId="0" borderId="3" xfId="1" applyFont="1" applyBorder="1">
      <alignment vertical="center"/>
    </xf>
    <xf numFmtId="0" fontId="0" fillId="0" borderId="1" xfId="0" applyBorder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20" fontId="0" fillId="0" borderId="0" xfId="0" applyNumberFormat="1" applyAlignment="1">
      <alignment horizontal="left" vertical="center"/>
    </xf>
    <xf numFmtId="178" fontId="0" fillId="0" borderId="3" xfId="0" applyNumberForma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23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20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361951</xdr:colOff>
      <xdr:row>0</xdr:row>
      <xdr:rowOff>0</xdr:rowOff>
    </xdr:from>
    <xdr:to>
      <xdr:col>8</xdr:col>
      <xdr:colOff>723900</xdr:colOff>
      <xdr:row>3</xdr:row>
      <xdr:rowOff>136555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7701" y="0"/>
          <a:ext cx="1219199" cy="889030"/>
        </a:xfrm>
        <a:prstGeom prst="rect">
          <a:avLst/>
        </a:prstGeom>
      </xdr:spPr>
    </xdr:pic>
    <xdr:clientData/>
  </xdr:twoCellAnchor>
  <xdr:twoCellAnchor editAs="oneCell">
    <xdr:from>
      <xdr:col>7</xdr:col>
      <xdr:colOff>361951</xdr:colOff>
      <xdr:row>0</xdr:row>
      <xdr:rowOff>0</xdr:rowOff>
    </xdr:from>
    <xdr:to>
      <xdr:col>8</xdr:col>
      <xdr:colOff>723900</xdr:colOff>
      <xdr:row>3</xdr:row>
      <xdr:rowOff>136555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7701" y="0"/>
          <a:ext cx="1219199" cy="889030"/>
        </a:xfrm>
        <a:prstGeom prst="rect">
          <a:avLst/>
        </a:prstGeom>
      </xdr:spPr>
    </xdr:pic>
    <xdr:clientData/>
  </xdr:twoCellAnchor>
  <xdr:twoCellAnchor editAs="oneCell">
    <xdr:from>
      <xdr:col>7</xdr:col>
      <xdr:colOff>361951</xdr:colOff>
      <xdr:row>0</xdr:row>
      <xdr:rowOff>0</xdr:rowOff>
    </xdr:from>
    <xdr:to>
      <xdr:col>8</xdr:col>
      <xdr:colOff>723900</xdr:colOff>
      <xdr:row>3</xdr:row>
      <xdr:rowOff>136555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7701" y="0"/>
          <a:ext cx="1219199" cy="889030"/>
        </a:xfrm>
        <a:prstGeom prst="rect">
          <a:avLst/>
        </a:prstGeom>
      </xdr:spPr>
    </xdr:pic>
    <xdr:clientData/>
  </xdr:twoCellAnchor>
  <xdr:twoCellAnchor editAs="oneCell">
    <xdr:from>
      <xdr:col>0</xdr:col>
      <xdr:colOff>514350</xdr:colOff>
      <xdr:row>32</xdr:row>
      <xdr:rowOff>19050</xdr:rowOff>
    </xdr:from>
    <xdr:to>
      <xdr:col>4</xdr:col>
      <xdr:colOff>261790</xdr:colOff>
      <xdr:row>38</xdr:row>
      <xdr:rowOff>57710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6972300"/>
          <a:ext cx="2033440" cy="11530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361951</xdr:colOff>
      <xdr:row>0</xdr:row>
      <xdr:rowOff>0</xdr:rowOff>
    </xdr:from>
    <xdr:to>
      <xdr:col>8</xdr:col>
      <xdr:colOff>723900</xdr:colOff>
      <xdr:row>3</xdr:row>
      <xdr:rowOff>136555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662725B-C26D-4D19-95FD-9BFE0651F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1" y="0"/>
          <a:ext cx="1219199" cy="889030"/>
        </a:xfrm>
        <a:prstGeom prst="rect">
          <a:avLst/>
        </a:prstGeom>
      </xdr:spPr>
    </xdr:pic>
    <xdr:clientData/>
  </xdr:twoCellAnchor>
  <xdr:twoCellAnchor editAs="oneCell">
    <xdr:from>
      <xdr:col>0</xdr:col>
      <xdr:colOff>485775</xdr:colOff>
      <xdr:row>36</xdr:row>
      <xdr:rowOff>9525</xdr:rowOff>
    </xdr:from>
    <xdr:to>
      <xdr:col>4</xdr:col>
      <xdr:colOff>242740</xdr:colOff>
      <xdr:row>42</xdr:row>
      <xdr:rowOff>95810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F15C6DA-4B66-4F22-A8D2-25175F4EE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7277100"/>
          <a:ext cx="2033440" cy="11530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361951</xdr:colOff>
      <xdr:row>0</xdr:row>
      <xdr:rowOff>0</xdr:rowOff>
    </xdr:from>
    <xdr:to>
      <xdr:col>8</xdr:col>
      <xdr:colOff>723900</xdr:colOff>
      <xdr:row>3</xdr:row>
      <xdr:rowOff>136555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7701" y="0"/>
          <a:ext cx="1219199" cy="889030"/>
        </a:xfrm>
        <a:prstGeom prst="rect">
          <a:avLst/>
        </a:prstGeom>
      </xdr:spPr>
    </xdr:pic>
    <xdr:clientData/>
  </xdr:twoCellAnchor>
  <xdr:twoCellAnchor editAs="oneCell">
    <xdr:from>
      <xdr:col>7</xdr:col>
      <xdr:colOff>361951</xdr:colOff>
      <xdr:row>0</xdr:row>
      <xdr:rowOff>0</xdr:rowOff>
    </xdr:from>
    <xdr:to>
      <xdr:col>8</xdr:col>
      <xdr:colOff>723900</xdr:colOff>
      <xdr:row>3</xdr:row>
      <xdr:rowOff>136555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7701" y="0"/>
          <a:ext cx="1219199" cy="889030"/>
        </a:xfrm>
        <a:prstGeom prst="rect">
          <a:avLst/>
        </a:prstGeom>
      </xdr:spPr>
    </xdr:pic>
    <xdr:clientData/>
  </xdr:twoCellAnchor>
  <xdr:twoCellAnchor editAs="oneCell">
    <xdr:from>
      <xdr:col>7</xdr:col>
      <xdr:colOff>361951</xdr:colOff>
      <xdr:row>0</xdr:row>
      <xdr:rowOff>0</xdr:rowOff>
    </xdr:from>
    <xdr:to>
      <xdr:col>8</xdr:col>
      <xdr:colOff>723900</xdr:colOff>
      <xdr:row>3</xdr:row>
      <xdr:rowOff>136555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7701" y="0"/>
          <a:ext cx="1219199" cy="889030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609600</xdr:colOff>
      <xdr:row>33</xdr:row>
      <xdr:rowOff>0</xdr:rowOff>
    </xdr:from>
    <xdr:to>
      <xdr:col>4</xdr:col>
      <xdr:colOff>399484</xdr:colOff>
      <xdr:row>39</xdr:row>
      <xdr:rowOff>68269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6791325"/>
          <a:ext cx="2047309" cy="11826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361951</xdr:colOff>
      <xdr:row>0</xdr:row>
      <xdr:rowOff>0</xdr:rowOff>
    </xdr:from>
    <xdr:to>
      <xdr:col>8</xdr:col>
      <xdr:colOff>723900</xdr:colOff>
      <xdr:row>3</xdr:row>
      <xdr:rowOff>136555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1" y="0"/>
          <a:ext cx="1219199" cy="889030"/>
        </a:xfrm>
        <a:prstGeom prst="rect">
          <a:avLst/>
        </a:prstGeom>
      </xdr:spPr>
    </xdr:pic>
    <xdr:clientData/>
  </xdr:twoCellAnchor>
  <xdr:twoCellAnchor editAs="oneCell">
    <xdr:from>
      <xdr:col>7</xdr:col>
      <xdr:colOff>361951</xdr:colOff>
      <xdr:row>0</xdr:row>
      <xdr:rowOff>0</xdr:rowOff>
    </xdr:from>
    <xdr:to>
      <xdr:col>8</xdr:col>
      <xdr:colOff>723900</xdr:colOff>
      <xdr:row>3</xdr:row>
      <xdr:rowOff>136555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7226" y="0"/>
          <a:ext cx="1219199" cy="889030"/>
        </a:xfrm>
        <a:prstGeom prst="rect">
          <a:avLst/>
        </a:prstGeom>
      </xdr:spPr>
    </xdr:pic>
    <xdr:clientData/>
  </xdr:twoCellAnchor>
  <xdr:twoCellAnchor editAs="oneCell">
    <xdr:from>
      <xdr:col>7</xdr:col>
      <xdr:colOff>361951</xdr:colOff>
      <xdr:row>0</xdr:row>
      <xdr:rowOff>0</xdr:rowOff>
    </xdr:from>
    <xdr:to>
      <xdr:col>8</xdr:col>
      <xdr:colOff>723900</xdr:colOff>
      <xdr:row>3</xdr:row>
      <xdr:rowOff>136555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7226" y="0"/>
          <a:ext cx="1219199" cy="889030"/>
        </a:xfrm>
        <a:prstGeom prst="rect">
          <a:avLst/>
        </a:prstGeom>
      </xdr:spPr>
    </xdr:pic>
    <xdr:clientData/>
  </xdr:twoCellAnchor>
  <xdr:twoCellAnchor editAs="oneCell">
    <xdr:from>
      <xdr:col>0</xdr:col>
      <xdr:colOff>647701</xdr:colOff>
      <xdr:row>36</xdr:row>
      <xdr:rowOff>135753</xdr:rowOff>
    </xdr:from>
    <xdr:to>
      <xdr:col>4</xdr:col>
      <xdr:colOff>200026</xdr:colOff>
      <xdr:row>42</xdr:row>
      <xdr:rowOff>87318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1" y="7165203"/>
          <a:ext cx="1828800" cy="10564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zoomScaleNormal="100" workbookViewId="0">
      <selection activeCell="I8" sqref="I8:I11"/>
    </sheetView>
  </sheetViews>
  <sheetFormatPr defaultRowHeight="17" x14ac:dyDescent="0.45"/>
  <cols>
    <col min="2" max="2" width="2.58203125" customWidth="1"/>
    <col min="4" max="4" width="9.33203125" bestFit="1" customWidth="1"/>
    <col min="5" max="5" width="6.08203125" customWidth="1"/>
    <col min="7" max="7" width="8.5" customWidth="1"/>
    <col min="8" max="8" width="11.25" customWidth="1"/>
    <col min="9" max="9" width="15.58203125" customWidth="1"/>
  </cols>
  <sheetData>
    <row r="1" spans="1:9" ht="25.5" x14ac:dyDescent="0.45">
      <c r="A1" s="11" t="s">
        <v>37</v>
      </c>
      <c r="B1" s="2"/>
    </row>
    <row r="2" spans="1:9" x14ac:dyDescent="0.45">
      <c r="A2" s="12" t="s">
        <v>38</v>
      </c>
      <c r="B2" s="2"/>
    </row>
    <row r="3" spans="1:9" x14ac:dyDescent="0.45">
      <c r="A3" s="12" t="s">
        <v>39</v>
      </c>
      <c r="B3" s="2"/>
    </row>
    <row r="4" spans="1:9" x14ac:dyDescent="0.45">
      <c r="A4" s="12" t="s">
        <v>40</v>
      </c>
      <c r="B4" s="2"/>
    </row>
    <row r="5" spans="1:9" ht="21" x14ac:dyDescent="0.45">
      <c r="A5" s="12" t="s">
        <v>41</v>
      </c>
      <c r="B5" s="2"/>
      <c r="H5" s="53" t="s">
        <v>37</v>
      </c>
      <c r="I5" s="53"/>
    </row>
    <row r="7" spans="1:9" x14ac:dyDescent="0.45">
      <c r="A7" s="10" t="s">
        <v>52</v>
      </c>
      <c r="B7" s="4"/>
      <c r="C7" s="30"/>
      <c r="D7" s="30"/>
      <c r="E7" s="30"/>
      <c r="F7" s="30"/>
      <c r="G7" s="21"/>
      <c r="H7" s="2"/>
      <c r="I7" s="2"/>
    </row>
    <row r="8" spans="1:9" x14ac:dyDescent="0.45">
      <c r="A8" s="45" t="s">
        <v>53</v>
      </c>
      <c r="B8" s="45"/>
      <c r="C8" s="45"/>
      <c r="D8" s="45"/>
      <c r="E8" s="45"/>
      <c r="F8" s="45"/>
      <c r="G8" s="54" t="s">
        <v>60</v>
      </c>
      <c r="H8" s="54"/>
      <c r="I8" s="27"/>
    </row>
    <row r="9" spans="1:9" x14ac:dyDescent="0.45">
      <c r="A9" s="45"/>
      <c r="B9" s="45"/>
      <c r="C9" s="45"/>
      <c r="D9" s="45"/>
      <c r="E9" s="45"/>
      <c r="F9" s="45"/>
      <c r="G9" s="54"/>
      <c r="H9" s="54"/>
      <c r="I9" s="27"/>
    </row>
    <row r="10" spans="1:9" x14ac:dyDescent="0.45">
      <c r="A10" s="55" t="s">
        <v>64</v>
      </c>
      <c r="B10" s="55"/>
      <c r="C10" s="58"/>
      <c r="D10" s="58"/>
      <c r="E10" s="58"/>
      <c r="F10" s="58"/>
      <c r="G10" s="56" t="s">
        <v>65</v>
      </c>
      <c r="H10" s="56"/>
      <c r="I10" s="37"/>
    </row>
    <row r="11" spans="1:9" x14ac:dyDescent="0.45">
      <c r="A11" s="3"/>
      <c r="C11" s="59"/>
      <c r="D11" s="59"/>
      <c r="E11" s="59"/>
      <c r="F11" s="59"/>
      <c r="I11" s="38"/>
    </row>
    <row r="12" spans="1:9" ht="26" x14ac:dyDescent="0.45">
      <c r="A12" s="57" t="s">
        <v>61</v>
      </c>
      <c r="B12" s="57"/>
      <c r="C12" s="57"/>
      <c r="D12" s="57"/>
      <c r="E12" s="57"/>
      <c r="F12" s="57"/>
      <c r="G12" s="57"/>
      <c r="H12" s="57"/>
      <c r="I12" s="57"/>
    </row>
    <row r="13" spans="1:9" ht="20.149999999999999" customHeight="1" x14ac:dyDescent="0.45">
      <c r="A13" s="49" t="s">
        <v>42</v>
      </c>
      <c r="B13" s="49"/>
      <c r="C13" s="49" t="s">
        <v>43</v>
      </c>
      <c r="D13" s="49"/>
      <c r="E13" s="49" t="s">
        <v>44</v>
      </c>
      <c r="F13" s="49"/>
      <c r="G13" s="49"/>
      <c r="H13" s="49"/>
      <c r="I13" s="25" t="s">
        <v>45</v>
      </c>
    </row>
    <row r="14" spans="1:9" ht="16.5" customHeight="1" x14ac:dyDescent="0.45">
      <c r="A14" s="49"/>
      <c r="B14" s="49"/>
      <c r="C14" s="50"/>
      <c r="D14" s="50"/>
      <c r="E14" s="51"/>
      <c r="F14" s="52"/>
      <c r="G14" s="52"/>
      <c r="H14" s="52"/>
      <c r="I14" s="35"/>
    </row>
    <row r="15" spans="1:9" ht="16.5" customHeight="1" x14ac:dyDescent="0.45">
      <c r="A15" s="32"/>
      <c r="B15" s="32"/>
      <c r="C15" s="33"/>
      <c r="D15" s="33"/>
      <c r="E15" s="41"/>
      <c r="F15" s="42"/>
      <c r="G15" s="42"/>
      <c r="H15" s="42"/>
      <c r="I15" s="15"/>
    </row>
    <row r="16" spans="1:9" ht="25" customHeight="1" x14ac:dyDescent="0.45">
      <c r="A16" s="43"/>
      <c r="B16" s="43"/>
      <c r="C16" s="44"/>
      <c r="D16" s="44"/>
      <c r="E16" s="48"/>
      <c r="F16" s="48"/>
      <c r="G16" s="48"/>
      <c r="H16" s="48"/>
      <c r="I16" s="15"/>
    </row>
    <row r="17" spans="1:9" ht="25" customHeight="1" x14ac:dyDescent="0.45">
      <c r="A17" s="43"/>
      <c r="B17" s="43"/>
      <c r="C17" s="44"/>
      <c r="D17" s="44"/>
      <c r="E17" s="48"/>
      <c r="F17" s="48"/>
      <c r="G17" s="48"/>
      <c r="H17" s="48"/>
      <c r="I17" s="15"/>
    </row>
    <row r="18" spans="1:9" ht="16.5" customHeight="1" x14ac:dyDescent="0.45">
      <c r="A18" s="43"/>
      <c r="B18" s="43"/>
      <c r="C18" s="44"/>
      <c r="D18" s="44"/>
      <c r="E18" s="48"/>
      <c r="F18" s="48"/>
      <c r="G18" s="48"/>
      <c r="H18" s="48"/>
      <c r="I18" s="15"/>
    </row>
    <row r="19" spans="1:9" ht="16" customHeight="1" x14ac:dyDescent="0.45">
      <c r="A19" s="43"/>
      <c r="B19" s="43"/>
      <c r="C19" s="44"/>
      <c r="D19" s="44"/>
      <c r="E19" s="45"/>
      <c r="F19" s="45"/>
      <c r="G19" s="45"/>
      <c r="H19" s="45"/>
      <c r="I19" s="15"/>
    </row>
    <row r="20" spans="1:9" ht="16" customHeight="1" x14ac:dyDescent="0.45">
      <c r="A20" s="43"/>
      <c r="B20" s="43"/>
      <c r="C20" s="44"/>
      <c r="D20" s="44"/>
      <c r="E20" s="45"/>
      <c r="F20" s="45"/>
      <c r="G20" s="45"/>
      <c r="H20" s="45"/>
      <c r="I20" s="15"/>
    </row>
    <row r="21" spans="1:9" ht="16" customHeight="1" x14ac:dyDescent="0.45">
      <c r="A21" s="43"/>
      <c r="B21" s="43"/>
      <c r="C21" s="44"/>
      <c r="D21" s="44"/>
      <c r="E21" s="45"/>
      <c r="F21" s="45"/>
      <c r="G21" s="45"/>
      <c r="H21" s="45"/>
      <c r="I21" s="15"/>
    </row>
    <row r="22" spans="1:9" ht="16" customHeight="1" x14ac:dyDescent="0.45">
      <c r="A22" s="43"/>
      <c r="B22" s="43"/>
      <c r="C22" s="44"/>
      <c r="D22" s="44"/>
      <c r="E22" s="45"/>
      <c r="F22" s="45"/>
      <c r="G22" s="45"/>
      <c r="H22" s="45"/>
      <c r="I22" s="15"/>
    </row>
    <row r="23" spans="1:9" ht="16" customHeight="1" x14ac:dyDescent="0.45">
      <c r="A23" s="43"/>
      <c r="B23" s="43"/>
      <c r="C23" s="44"/>
      <c r="D23" s="44"/>
      <c r="E23" s="45"/>
      <c r="F23" s="45"/>
      <c r="G23" s="45"/>
      <c r="H23" s="45"/>
      <c r="I23" s="15"/>
    </row>
    <row r="24" spans="1:9" ht="20.149999999999999" customHeight="1" x14ac:dyDescent="0.45">
      <c r="A24" s="43"/>
      <c r="B24" s="43"/>
      <c r="C24" s="44"/>
      <c r="D24" s="44"/>
      <c r="E24" s="45"/>
      <c r="F24" s="45"/>
      <c r="G24" s="45"/>
      <c r="H24" s="45"/>
      <c r="I24" s="15"/>
    </row>
    <row r="25" spans="1:9" ht="16.5" customHeight="1" x14ac:dyDescent="0.45">
      <c r="A25" s="32"/>
      <c r="B25" s="32"/>
      <c r="C25" s="33"/>
      <c r="D25" s="33"/>
      <c r="E25" s="30"/>
      <c r="F25" s="30"/>
      <c r="G25" s="30"/>
      <c r="H25" s="30"/>
      <c r="I25" s="15"/>
    </row>
    <row r="26" spans="1:9" ht="16.5" customHeight="1" x14ac:dyDescent="0.45">
      <c r="A26" s="32"/>
      <c r="B26" s="32"/>
      <c r="C26" s="33"/>
      <c r="D26" s="33"/>
      <c r="E26" s="30"/>
      <c r="F26" s="30"/>
      <c r="G26" s="30"/>
      <c r="H26" s="30"/>
      <c r="I26" s="15"/>
    </row>
    <row r="27" spans="1:9" ht="20.149999999999999" customHeight="1" x14ac:dyDescent="0.45">
      <c r="A27" s="43"/>
      <c r="B27" s="43"/>
      <c r="C27" s="44"/>
      <c r="D27" s="44"/>
      <c r="E27" s="45"/>
      <c r="F27" s="45"/>
      <c r="G27" s="45"/>
      <c r="H27" s="45"/>
      <c r="I27" s="15"/>
    </row>
    <row r="28" spans="1:9" ht="20.149999999999999" customHeight="1" x14ac:dyDescent="0.45">
      <c r="A28" s="32"/>
      <c r="B28" s="32"/>
      <c r="C28" s="33"/>
      <c r="D28" s="33"/>
      <c r="E28" s="30"/>
      <c r="F28" s="30"/>
      <c r="G28" s="30"/>
      <c r="H28" s="30"/>
      <c r="I28" s="15"/>
    </row>
    <row r="29" spans="1:9" ht="13.5" customHeight="1" x14ac:dyDescent="0.45">
      <c r="A29" s="22" t="s">
        <v>24</v>
      </c>
      <c r="B29" s="23"/>
      <c r="C29" s="23"/>
      <c r="D29" s="23"/>
      <c r="E29" s="18"/>
      <c r="F29" s="18"/>
      <c r="G29" s="18"/>
      <c r="H29" s="18"/>
      <c r="I29" s="15"/>
    </row>
    <row r="30" spans="1:9" ht="13.5" customHeight="1" x14ac:dyDescent="0.45">
      <c r="A30" s="16" t="s">
        <v>57</v>
      </c>
      <c r="B30" s="16"/>
      <c r="C30" s="16"/>
      <c r="D30" s="16"/>
      <c r="E30" s="18"/>
      <c r="F30" s="18"/>
      <c r="G30" s="18"/>
      <c r="H30" s="18"/>
      <c r="I30" s="15"/>
    </row>
    <row r="31" spans="1:9" ht="13.5" customHeight="1" x14ac:dyDescent="0.45">
      <c r="A31" s="17" t="s">
        <v>58</v>
      </c>
      <c r="B31" s="17"/>
      <c r="C31" s="17"/>
      <c r="D31" s="17"/>
      <c r="E31" s="18"/>
      <c r="F31" s="18"/>
      <c r="G31" s="18"/>
      <c r="H31" s="18"/>
      <c r="I31" s="15"/>
    </row>
    <row r="32" spans="1:9" ht="13.5" customHeight="1" x14ac:dyDescent="0.45">
      <c r="A32" s="17" t="s">
        <v>59</v>
      </c>
      <c r="B32" s="17"/>
      <c r="C32" s="17"/>
      <c r="D32" s="17"/>
      <c r="E32" s="18"/>
      <c r="F32" s="18"/>
      <c r="G32" s="18"/>
      <c r="H32" s="18"/>
      <c r="I32" s="15"/>
    </row>
    <row r="33" spans="1:9" ht="13.5" customHeight="1" x14ac:dyDescent="0.45">
      <c r="A33" s="1" t="str">
        <f t="shared" ref="A33" si="0">IF(I33&lt;&gt;0,A32+1,"")</f>
        <v/>
      </c>
      <c r="C33" s="44"/>
      <c r="D33" s="44"/>
      <c r="E33" s="60"/>
      <c r="F33" s="60"/>
      <c r="G33" s="60"/>
      <c r="H33" s="60"/>
      <c r="I33" s="7"/>
    </row>
    <row r="34" spans="1:9" ht="13.5" customHeight="1" x14ac:dyDescent="0.45">
      <c r="A34" s="1" t="str">
        <f>IF(I34&lt;&gt;0,#REF!+1,"")</f>
        <v/>
      </c>
      <c r="C34" s="44"/>
      <c r="D34" s="44"/>
      <c r="E34" s="43"/>
      <c r="F34" s="43"/>
      <c r="G34" s="43"/>
      <c r="H34" s="43"/>
    </row>
    <row r="35" spans="1:9" ht="13.5" customHeight="1" thickBot="1" x14ac:dyDescent="0.5">
      <c r="A35" s="1"/>
      <c r="C35" s="43"/>
      <c r="D35" s="43"/>
      <c r="F35" s="47" t="s">
        <v>28</v>
      </c>
      <c r="G35" s="47"/>
      <c r="H35" s="19" t="s">
        <v>46</v>
      </c>
      <c r="I35" s="20">
        <f>SUM(I14:I34)</f>
        <v>0</v>
      </c>
    </row>
    <row r="36" spans="1:9" ht="13.5" customHeight="1" x14ac:dyDescent="0.45">
      <c r="C36" s="43"/>
      <c r="D36" s="43"/>
      <c r="F36" s="43"/>
      <c r="G36" s="43"/>
      <c r="H36" s="1"/>
    </row>
    <row r="37" spans="1:9" ht="17.5" thickBot="1" x14ac:dyDescent="0.5">
      <c r="C37" s="43"/>
      <c r="D37" s="43"/>
      <c r="F37" s="46" t="s">
        <v>47</v>
      </c>
      <c r="G37" s="46"/>
      <c r="H37" s="5" t="s">
        <v>46</v>
      </c>
      <c r="I37" s="6"/>
    </row>
    <row r="38" spans="1:9" x14ac:dyDescent="0.45">
      <c r="C38" s="43"/>
      <c r="D38" s="43"/>
    </row>
    <row r="39" spans="1:9" x14ac:dyDescent="0.45">
      <c r="A39" s="9" t="s">
        <v>48</v>
      </c>
    </row>
    <row r="40" spans="1:9" x14ac:dyDescent="0.45">
      <c r="A40" s="9" t="s">
        <v>49</v>
      </c>
    </row>
    <row r="41" spans="1:9" x14ac:dyDescent="0.45">
      <c r="A41" s="9" t="s">
        <v>50</v>
      </c>
    </row>
    <row r="42" spans="1:9" x14ac:dyDescent="0.45">
      <c r="A42" s="9" t="s">
        <v>51</v>
      </c>
    </row>
  </sheetData>
  <mergeCells count="59">
    <mergeCell ref="A23:B23"/>
    <mergeCell ref="C35:D35"/>
    <mergeCell ref="F35:G35"/>
    <mergeCell ref="C36:D36"/>
    <mergeCell ref="F36:G36"/>
    <mergeCell ref="C34:D34"/>
    <mergeCell ref="E34:H34"/>
    <mergeCell ref="C27:D27"/>
    <mergeCell ref="C23:D23"/>
    <mergeCell ref="E23:H23"/>
    <mergeCell ref="E27:H27"/>
    <mergeCell ref="A24:B24"/>
    <mergeCell ref="A27:B27"/>
    <mergeCell ref="C24:D24"/>
    <mergeCell ref="E24:H24"/>
    <mergeCell ref="A19:B19"/>
    <mergeCell ref="A20:B20"/>
    <mergeCell ref="A21:B21"/>
    <mergeCell ref="E21:H21"/>
    <mergeCell ref="C22:D22"/>
    <mergeCell ref="E22:H22"/>
    <mergeCell ref="A22:B22"/>
    <mergeCell ref="C20:D20"/>
    <mergeCell ref="E20:H20"/>
    <mergeCell ref="C21:D21"/>
    <mergeCell ref="C19:D19"/>
    <mergeCell ref="E19:H19"/>
    <mergeCell ref="A17:B17"/>
    <mergeCell ref="A18:B18"/>
    <mergeCell ref="C17:D17"/>
    <mergeCell ref="E17:H17"/>
    <mergeCell ref="C18:D18"/>
    <mergeCell ref="E18:H18"/>
    <mergeCell ref="C10:F10"/>
    <mergeCell ref="C11:F11"/>
    <mergeCell ref="A16:B16"/>
    <mergeCell ref="E16:H16"/>
    <mergeCell ref="C16:D16"/>
    <mergeCell ref="C14:D14"/>
    <mergeCell ref="E14:H14"/>
    <mergeCell ref="A14:B14"/>
    <mergeCell ref="A12:I12"/>
    <mergeCell ref="A13:B13"/>
    <mergeCell ref="C13:D13"/>
    <mergeCell ref="E13:H13"/>
    <mergeCell ref="G10:H10"/>
    <mergeCell ref="A10:B10"/>
    <mergeCell ref="H5:I5"/>
    <mergeCell ref="G8:H8"/>
    <mergeCell ref="G9:H9"/>
    <mergeCell ref="A9:B9"/>
    <mergeCell ref="A8:B8"/>
    <mergeCell ref="C8:F8"/>
    <mergeCell ref="C9:F9"/>
    <mergeCell ref="C37:D37"/>
    <mergeCell ref="F37:G37"/>
    <mergeCell ref="C38:D38"/>
    <mergeCell ref="C33:D33"/>
    <mergeCell ref="E33:H33"/>
  </mergeCells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5D18-5881-4211-B81E-C78B5350E4B4}">
  <dimension ref="A1:L46"/>
  <sheetViews>
    <sheetView topLeftCell="A3" zoomScaleNormal="100" workbookViewId="0">
      <selection activeCell="E18" sqref="E18:H18"/>
    </sheetView>
  </sheetViews>
  <sheetFormatPr defaultRowHeight="17" x14ac:dyDescent="0.45"/>
  <cols>
    <col min="1" max="1" width="9.08203125" bestFit="1" customWidth="1"/>
    <col min="2" max="2" width="2.58203125" customWidth="1"/>
    <col min="3" max="3" width="9.08203125" bestFit="1" customWidth="1"/>
    <col min="5" max="5" width="6.08203125" customWidth="1"/>
    <col min="8" max="8" width="11.25" customWidth="1"/>
    <col min="9" max="9" width="15.33203125" customWidth="1"/>
    <col min="10" max="10" width="10.75" bestFit="1" customWidth="1"/>
    <col min="11" max="11" width="9.75" bestFit="1" customWidth="1"/>
    <col min="12" max="12" width="10.75" bestFit="1" customWidth="1"/>
  </cols>
  <sheetData>
    <row r="1" spans="1:10" ht="25.5" x14ac:dyDescent="0.45">
      <c r="A1" s="11" t="s">
        <v>11</v>
      </c>
      <c r="B1" s="2"/>
    </row>
    <row r="2" spans="1:10" x14ac:dyDescent="0.45">
      <c r="A2" s="12" t="s">
        <v>12</v>
      </c>
      <c r="B2" s="2"/>
    </row>
    <row r="3" spans="1:10" x14ac:dyDescent="0.45">
      <c r="A3" s="12" t="s">
        <v>13</v>
      </c>
      <c r="B3" s="2"/>
    </row>
    <row r="4" spans="1:10" x14ac:dyDescent="0.45">
      <c r="A4" s="12" t="s">
        <v>14</v>
      </c>
      <c r="B4" s="2"/>
    </row>
    <row r="5" spans="1:10" ht="21" x14ac:dyDescent="0.45">
      <c r="A5" s="12" t="s">
        <v>15</v>
      </c>
      <c r="B5" s="2"/>
      <c r="H5" s="53" t="s">
        <v>11</v>
      </c>
      <c r="I5" s="53"/>
    </row>
    <row r="7" spans="1:10" x14ac:dyDescent="0.45">
      <c r="A7" s="10" t="s">
        <v>35</v>
      </c>
      <c r="B7" s="4"/>
      <c r="C7" s="30"/>
      <c r="D7" s="30"/>
      <c r="E7" s="30"/>
      <c r="F7" s="30"/>
      <c r="G7" s="21"/>
      <c r="H7" s="2"/>
      <c r="I7" s="2"/>
    </row>
    <row r="8" spans="1:10" x14ac:dyDescent="0.45">
      <c r="A8" s="45" t="s">
        <v>36</v>
      </c>
      <c r="B8" s="45"/>
      <c r="C8" s="45"/>
      <c r="D8" s="45"/>
      <c r="E8" s="45"/>
      <c r="F8" s="45"/>
      <c r="G8" s="54" t="s">
        <v>54</v>
      </c>
      <c r="H8" s="54"/>
      <c r="I8" s="26"/>
    </row>
    <row r="9" spans="1:10" ht="16.5" customHeight="1" x14ac:dyDescent="0.45">
      <c r="A9" s="45" t="s">
        <v>72</v>
      </c>
      <c r="B9" s="45"/>
      <c r="C9" s="48"/>
      <c r="D9" s="65"/>
      <c r="E9" s="65"/>
      <c r="F9" s="65"/>
      <c r="G9" s="54" t="s">
        <v>55</v>
      </c>
      <c r="H9" s="54"/>
      <c r="I9" s="40"/>
      <c r="J9" s="31"/>
    </row>
    <row r="10" spans="1:10" x14ac:dyDescent="0.45">
      <c r="A10" s="55" t="s">
        <v>64</v>
      </c>
      <c r="B10" s="55"/>
      <c r="C10" s="58"/>
      <c r="D10" s="58"/>
      <c r="E10" s="58"/>
      <c r="F10" s="58"/>
      <c r="G10" s="56" t="s">
        <v>65</v>
      </c>
      <c r="H10" s="56"/>
      <c r="I10" s="37"/>
    </row>
    <row r="11" spans="1:10" x14ac:dyDescent="0.45">
      <c r="A11" s="3"/>
      <c r="C11" s="59"/>
      <c r="D11" s="59"/>
      <c r="E11" s="59"/>
      <c r="F11" s="59"/>
      <c r="I11" s="38"/>
    </row>
    <row r="12" spans="1:10" ht="26" x14ac:dyDescent="0.45">
      <c r="A12" s="57" t="s">
        <v>16</v>
      </c>
      <c r="B12" s="57"/>
      <c r="C12" s="57"/>
      <c r="D12" s="57"/>
      <c r="E12" s="57"/>
      <c r="F12" s="57"/>
      <c r="G12" s="57"/>
      <c r="H12" s="57"/>
      <c r="I12" s="57"/>
    </row>
    <row r="13" spans="1:10" x14ac:dyDescent="0.45">
      <c r="A13" s="36" t="s">
        <v>7</v>
      </c>
      <c r="B13" s="36"/>
      <c r="C13" s="64" t="s">
        <v>17</v>
      </c>
      <c r="D13" s="64"/>
      <c r="E13" s="64" t="s">
        <v>18</v>
      </c>
      <c r="F13" s="64"/>
      <c r="G13" s="64"/>
      <c r="H13" s="64"/>
      <c r="I13" s="36" t="s">
        <v>8</v>
      </c>
    </row>
    <row r="14" spans="1:10" ht="15" customHeight="1" x14ac:dyDescent="0.45">
      <c r="A14" s="32"/>
      <c r="C14" s="44"/>
      <c r="D14" s="44"/>
      <c r="E14" s="61"/>
      <c r="F14" s="62"/>
      <c r="G14" s="62"/>
      <c r="H14" s="62"/>
      <c r="I14" s="15"/>
    </row>
    <row r="15" spans="1:10" ht="15" customHeight="1" x14ac:dyDescent="0.45">
      <c r="A15" s="32"/>
      <c r="C15" s="44"/>
      <c r="D15" s="44"/>
      <c r="E15" s="61"/>
      <c r="F15" s="62"/>
      <c r="G15" s="62"/>
      <c r="H15" s="62"/>
      <c r="I15" s="15"/>
    </row>
    <row r="16" spans="1:10" ht="15" customHeight="1" x14ac:dyDescent="0.45">
      <c r="A16" s="32"/>
      <c r="C16" s="44"/>
      <c r="D16" s="44"/>
      <c r="E16" s="61"/>
      <c r="F16" s="62"/>
      <c r="G16" s="62"/>
      <c r="H16" s="62"/>
      <c r="I16" s="15"/>
    </row>
    <row r="17" spans="1:12" ht="15" customHeight="1" x14ac:dyDescent="0.45">
      <c r="A17" s="32"/>
      <c r="C17" s="44"/>
      <c r="D17" s="44"/>
      <c r="E17" s="61"/>
      <c r="F17" s="62"/>
      <c r="G17" s="62"/>
      <c r="H17" s="62"/>
      <c r="I17" s="15"/>
    </row>
    <row r="18" spans="1:12" ht="15" customHeight="1" x14ac:dyDescent="0.45">
      <c r="A18" s="32"/>
      <c r="C18" s="44"/>
      <c r="D18" s="44"/>
      <c r="E18" s="60"/>
      <c r="F18" s="63"/>
      <c r="G18" s="63"/>
      <c r="H18" s="63"/>
      <c r="I18" s="15"/>
    </row>
    <row r="19" spans="1:12" ht="15" customHeight="1" x14ac:dyDescent="0.45">
      <c r="A19" s="32"/>
      <c r="C19" s="44"/>
      <c r="D19" s="44"/>
      <c r="E19" s="61"/>
      <c r="F19" s="62"/>
      <c r="G19" s="62"/>
      <c r="H19" s="62"/>
      <c r="I19" s="15"/>
    </row>
    <row r="20" spans="1:12" ht="15" customHeight="1" x14ac:dyDescent="0.45">
      <c r="A20" s="32"/>
      <c r="C20" s="44"/>
      <c r="D20" s="44"/>
      <c r="E20" s="61"/>
      <c r="F20" s="62"/>
      <c r="G20" s="62"/>
      <c r="H20" s="62"/>
      <c r="I20" s="15"/>
      <c r="L20" s="14"/>
    </row>
    <row r="21" spans="1:12" ht="13.5" customHeight="1" x14ac:dyDescent="0.45">
      <c r="A21" s="32"/>
      <c r="C21" s="44"/>
      <c r="D21" s="44"/>
      <c r="E21" s="61"/>
      <c r="F21" s="62"/>
      <c r="G21" s="62"/>
      <c r="H21" s="62"/>
      <c r="I21" s="15"/>
    </row>
    <row r="22" spans="1:12" ht="13.5" customHeight="1" x14ac:dyDescent="0.45">
      <c r="A22" s="32"/>
      <c r="C22" s="44"/>
      <c r="D22" s="44"/>
      <c r="E22" s="61"/>
      <c r="F22" s="62"/>
      <c r="G22" s="62"/>
      <c r="H22" s="62"/>
      <c r="I22" s="15"/>
    </row>
    <row r="23" spans="1:12" ht="13.5" customHeight="1" x14ac:dyDescent="0.45">
      <c r="A23" s="32"/>
      <c r="C23" s="44"/>
      <c r="D23" s="44"/>
      <c r="E23" s="61"/>
      <c r="F23" s="62"/>
      <c r="G23" s="62"/>
      <c r="H23" s="62"/>
      <c r="I23" s="15"/>
    </row>
    <row r="24" spans="1:12" ht="13.5" customHeight="1" x14ac:dyDescent="0.45">
      <c r="A24" s="32"/>
      <c r="C24" s="44"/>
      <c r="D24" s="44"/>
      <c r="E24" s="60"/>
      <c r="F24" s="63"/>
      <c r="G24" s="63"/>
      <c r="H24" s="63"/>
      <c r="I24" s="15"/>
      <c r="J24" s="13"/>
    </row>
    <row r="25" spans="1:12" ht="13.5" customHeight="1" x14ac:dyDescent="0.45">
      <c r="A25" s="32"/>
      <c r="C25" s="44"/>
      <c r="D25" s="44"/>
      <c r="E25" s="60"/>
      <c r="F25" s="63"/>
      <c r="G25" s="63"/>
      <c r="H25" s="63"/>
      <c r="I25" s="15"/>
      <c r="J25" s="13"/>
      <c r="K25" s="13"/>
    </row>
    <row r="26" spans="1:12" ht="13.5" customHeight="1" x14ac:dyDescent="0.45">
      <c r="A26" s="32"/>
      <c r="C26" s="44"/>
      <c r="D26" s="44"/>
      <c r="E26" s="60"/>
      <c r="F26" s="63"/>
      <c r="G26" s="63"/>
      <c r="H26" s="63"/>
      <c r="I26" s="15"/>
      <c r="J26" t="s">
        <v>9</v>
      </c>
      <c r="K26" t="s">
        <v>10</v>
      </c>
    </row>
    <row r="27" spans="1:12" ht="13.5" customHeight="1" x14ac:dyDescent="0.45">
      <c r="A27" s="22"/>
      <c r="C27" s="29"/>
      <c r="D27" s="29"/>
      <c r="E27" s="60"/>
      <c r="F27" s="60"/>
      <c r="G27" s="60"/>
      <c r="H27" s="60"/>
      <c r="I27" s="15"/>
      <c r="J27" s="13">
        <f ca="1">SUMIF(E14:H37,"Accommodation*",I14:I37)</f>
        <v>0</v>
      </c>
      <c r="K27" s="7">
        <f ca="1">SUMIF(E14:H37,"CAFÉ FOOD*",I14:I37)</f>
        <v>0</v>
      </c>
      <c r="L27" s="13">
        <f ca="1">K27+J27</f>
        <v>0</v>
      </c>
    </row>
    <row r="28" spans="1:12" ht="13.5" customHeight="1" x14ac:dyDescent="0.45">
      <c r="A28" s="16"/>
      <c r="C28" s="29"/>
      <c r="D28" s="29"/>
      <c r="E28" s="60"/>
      <c r="F28" s="60"/>
      <c r="G28" s="60"/>
      <c r="H28" s="60"/>
      <c r="I28" s="15"/>
      <c r="K28" s="13"/>
    </row>
    <row r="29" spans="1:12" ht="13.5" customHeight="1" x14ac:dyDescent="0.45">
      <c r="A29" s="17"/>
      <c r="C29" s="29"/>
      <c r="D29" s="29"/>
      <c r="E29" s="60"/>
      <c r="F29" s="60"/>
      <c r="G29" s="60"/>
      <c r="H29" s="60"/>
      <c r="I29" s="15"/>
      <c r="K29" s="13"/>
    </row>
    <row r="30" spans="1:12" ht="13.5" customHeight="1" x14ac:dyDescent="0.45">
      <c r="A30" s="17"/>
      <c r="C30" s="29"/>
      <c r="D30" s="29"/>
      <c r="E30" s="60"/>
      <c r="F30" s="60"/>
      <c r="G30" s="60"/>
      <c r="H30" s="60"/>
      <c r="I30" s="15"/>
      <c r="K30" s="13"/>
    </row>
    <row r="31" spans="1:12" ht="13.5" customHeight="1" x14ac:dyDescent="0.45">
      <c r="A31" s="1"/>
      <c r="C31" s="44"/>
      <c r="D31" s="44"/>
      <c r="E31" s="60"/>
      <c r="F31" s="60"/>
      <c r="G31" s="60"/>
      <c r="H31" s="60"/>
      <c r="I31" s="15"/>
      <c r="K31" s="13"/>
    </row>
    <row r="32" spans="1:12" ht="13.5" customHeight="1" x14ac:dyDescent="0.45">
      <c r="A32" s="1"/>
      <c r="C32" s="44"/>
      <c r="D32" s="44"/>
      <c r="E32" s="60"/>
      <c r="F32" s="60"/>
      <c r="G32" s="60"/>
      <c r="H32" s="60"/>
      <c r="I32" s="15"/>
      <c r="K32" s="13"/>
    </row>
    <row r="33" spans="1:11" ht="13.5" customHeight="1" x14ac:dyDescent="0.45">
      <c r="A33" s="1"/>
      <c r="C33" s="33"/>
      <c r="D33" s="33"/>
      <c r="E33" s="1"/>
      <c r="F33" s="1"/>
      <c r="G33" s="1"/>
      <c r="H33" s="1"/>
      <c r="I33" s="15"/>
      <c r="K33" s="13"/>
    </row>
    <row r="34" spans="1:11" ht="13.5" customHeight="1" x14ac:dyDescent="0.45">
      <c r="A34" s="1"/>
      <c r="C34" s="33"/>
      <c r="D34" s="33"/>
      <c r="E34" s="1"/>
      <c r="F34" s="1"/>
      <c r="G34" s="1"/>
      <c r="H34" s="1"/>
      <c r="I34" s="15"/>
      <c r="K34" s="13"/>
    </row>
    <row r="35" spans="1:11" ht="13.5" customHeight="1" x14ac:dyDescent="0.45">
      <c r="A35" s="1"/>
      <c r="C35" s="33"/>
      <c r="D35" s="33"/>
      <c r="E35" s="1"/>
      <c r="F35" s="1"/>
      <c r="G35" s="1"/>
      <c r="H35" s="1"/>
      <c r="I35" s="15"/>
      <c r="K35" s="13"/>
    </row>
    <row r="36" spans="1:11" ht="13.5" customHeight="1" x14ac:dyDescent="0.45">
      <c r="A36" s="1"/>
      <c r="C36" s="33"/>
      <c r="D36" s="33"/>
      <c r="E36" s="1"/>
      <c r="F36" s="1"/>
      <c r="G36" s="1"/>
      <c r="H36" s="1"/>
      <c r="I36" s="15"/>
      <c r="K36" s="13"/>
    </row>
    <row r="37" spans="1:11" ht="13.5" customHeight="1" x14ac:dyDescent="0.45">
      <c r="A37" s="1"/>
      <c r="C37" s="44"/>
      <c r="D37" s="44"/>
      <c r="E37" s="60"/>
      <c r="F37" s="60"/>
      <c r="G37" s="60"/>
      <c r="H37" s="60"/>
      <c r="I37" s="15"/>
      <c r="K37" s="13"/>
    </row>
    <row r="38" spans="1:11" ht="13.5" customHeight="1" x14ac:dyDescent="0.45">
      <c r="A38" s="1"/>
      <c r="C38" s="33"/>
      <c r="D38" s="33"/>
      <c r="E38" s="1"/>
      <c r="F38" s="1"/>
      <c r="G38" s="1"/>
      <c r="H38" s="1"/>
      <c r="I38" s="15"/>
      <c r="K38" s="13"/>
    </row>
    <row r="39" spans="1:11" ht="17.5" thickBot="1" x14ac:dyDescent="0.5">
      <c r="A39" s="1"/>
      <c r="C39" s="43"/>
      <c r="D39" s="43"/>
      <c r="F39" s="46" t="s">
        <v>0</v>
      </c>
      <c r="G39" s="46"/>
      <c r="H39" s="5" t="s">
        <v>1</v>
      </c>
      <c r="I39" s="8">
        <f>SUM(I14:I37)</f>
        <v>0</v>
      </c>
    </row>
    <row r="40" spans="1:11" ht="6" customHeight="1" x14ac:dyDescent="0.45">
      <c r="C40" s="43"/>
      <c r="D40" s="43"/>
      <c r="F40" s="43"/>
      <c r="G40" s="43"/>
      <c r="H40" s="1"/>
    </row>
    <row r="41" spans="1:11" ht="17.5" thickBot="1" x14ac:dyDescent="0.5">
      <c r="C41" s="43"/>
      <c r="D41" s="43"/>
      <c r="F41" s="46" t="s">
        <v>2</v>
      </c>
      <c r="G41" s="46"/>
      <c r="H41" s="5" t="s">
        <v>1</v>
      </c>
      <c r="I41" s="6"/>
    </row>
    <row r="42" spans="1:11" x14ac:dyDescent="0.45">
      <c r="C42" s="43"/>
      <c r="D42" s="43"/>
    </row>
    <row r="43" spans="1:11" x14ac:dyDescent="0.45">
      <c r="A43" s="9" t="s">
        <v>3</v>
      </c>
    </row>
    <row r="44" spans="1:11" x14ac:dyDescent="0.45">
      <c r="A44" s="9" t="s">
        <v>6</v>
      </c>
    </row>
    <row r="45" spans="1:11" x14ac:dyDescent="0.45">
      <c r="A45" s="9" t="s">
        <v>4</v>
      </c>
    </row>
    <row r="46" spans="1:11" x14ac:dyDescent="0.45">
      <c r="A46" s="9" t="s">
        <v>5</v>
      </c>
    </row>
  </sheetData>
  <mergeCells count="57">
    <mergeCell ref="C13:D13"/>
    <mergeCell ref="E13:H13"/>
    <mergeCell ref="H5:I5"/>
    <mergeCell ref="A8:B8"/>
    <mergeCell ref="C8:F8"/>
    <mergeCell ref="G8:H8"/>
    <mergeCell ref="A9:B9"/>
    <mergeCell ref="C9:F9"/>
    <mergeCell ref="G9:H9"/>
    <mergeCell ref="A10:B10"/>
    <mergeCell ref="C10:F10"/>
    <mergeCell ref="G10:H10"/>
    <mergeCell ref="C11:F11"/>
    <mergeCell ref="A12:I12"/>
    <mergeCell ref="C14:D14"/>
    <mergeCell ref="E14:H14"/>
    <mergeCell ref="C15:D15"/>
    <mergeCell ref="E15:H15"/>
    <mergeCell ref="C16:D16"/>
    <mergeCell ref="E16:H16"/>
    <mergeCell ref="C17:D17"/>
    <mergeCell ref="E17:H17"/>
    <mergeCell ref="C18:D18"/>
    <mergeCell ref="E18:H18"/>
    <mergeCell ref="C19:D19"/>
    <mergeCell ref="E19:H19"/>
    <mergeCell ref="C20:D20"/>
    <mergeCell ref="E20:H20"/>
    <mergeCell ref="C21:D21"/>
    <mergeCell ref="E21:H21"/>
    <mergeCell ref="C22:D22"/>
    <mergeCell ref="E22:H22"/>
    <mergeCell ref="C26:D26"/>
    <mergeCell ref="E26:H26"/>
    <mergeCell ref="E27:H27"/>
    <mergeCell ref="E28:H28"/>
    <mergeCell ref="E29:H29"/>
    <mergeCell ref="C23:D23"/>
    <mergeCell ref="E23:H23"/>
    <mergeCell ref="C24:D24"/>
    <mergeCell ref="E24:H24"/>
    <mergeCell ref="C25:D25"/>
    <mergeCell ref="E25:H25"/>
    <mergeCell ref="C31:D31"/>
    <mergeCell ref="E31:H31"/>
    <mergeCell ref="C32:D32"/>
    <mergeCell ref="E32:H32"/>
    <mergeCell ref="E30:H30"/>
    <mergeCell ref="C41:D41"/>
    <mergeCell ref="F41:G41"/>
    <mergeCell ref="C42:D42"/>
    <mergeCell ref="C37:D37"/>
    <mergeCell ref="E37:H37"/>
    <mergeCell ref="C39:D39"/>
    <mergeCell ref="F39:G39"/>
    <mergeCell ref="C40:D40"/>
    <mergeCell ref="F40:G4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3"/>
  <sheetViews>
    <sheetView tabSelected="1" topLeftCell="A3" zoomScaleNormal="100" workbookViewId="0">
      <selection activeCell="I8" sqref="I8"/>
    </sheetView>
  </sheetViews>
  <sheetFormatPr defaultRowHeight="17" x14ac:dyDescent="0.45"/>
  <cols>
    <col min="2" max="2" width="2.58203125" customWidth="1"/>
    <col min="5" max="5" width="6.08203125" customWidth="1"/>
    <col min="8" max="8" width="11.25" customWidth="1"/>
    <col min="9" max="9" width="15.58203125" customWidth="1"/>
  </cols>
  <sheetData>
    <row r="1" spans="1:9" ht="25.5" x14ac:dyDescent="0.45">
      <c r="A1" s="11" t="s">
        <v>62</v>
      </c>
      <c r="B1" s="2"/>
    </row>
    <row r="2" spans="1:9" x14ac:dyDescent="0.45">
      <c r="A2" s="12" t="s">
        <v>19</v>
      </c>
      <c r="B2" s="2"/>
    </row>
    <row r="3" spans="1:9" x14ac:dyDescent="0.45">
      <c r="A3" s="12" t="s">
        <v>20</v>
      </c>
      <c r="B3" s="2"/>
    </row>
    <row r="4" spans="1:9" x14ac:dyDescent="0.45">
      <c r="A4" s="12" t="s">
        <v>21</v>
      </c>
      <c r="B4" s="2"/>
    </row>
    <row r="5" spans="1:9" ht="21" x14ac:dyDescent="0.45">
      <c r="A5" s="12" t="s">
        <v>22</v>
      </c>
      <c r="B5" s="2"/>
      <c r="H5" s="53" t="s">
        <v>23</v>
      </c>
      <c r="I5" s="53"/>
    </row>
    <row r="6" spans="1:9" x14ac:dyDescent="0.45">
      <c r="A6" s="45"/>
      <c r="B6" s="45"/>
      <c r="C6" s="45"/>
      <c r="D6" s="45"/>
      <c r="E6" s="45"/>
      <c r="F6" s="45"/>
      <c r="G6" s="21"/>
      <c r="H6" s="2"/>
      <c r="I6" s="2"/>
    </row>
    <row r="7" spans="1:9" x14ac:dyDescent="0.45">
      <c r="A7" s="10" t="s">
        <v>35</v>
      </c>
      <c r="B7" s="4"/>
      <c r="C7" s="30" t="s">
        <v>56</v>
      </c>
      <c r="D7" s="30"/>
      <c r="E7" s="30"/>
      <c r="F7" s="30"/>
      <c r="G7" s="21"/>
      <c r="H7" s="2"/>
      <c r="I7" s="2"/>
    </row>
    <row r="8" spans="1:9" x14ac:dyDescent="0.45">
      <c r="A8" s="45" t="s">
        <v>36</v>
      </c>
      <c r="B8" s="45"/>
      <c r="C8" s="45"/>
      <c r="D8" s="45"/>
      <c r="E8" s="45"/>
      <c r="F8" s="45"/>
      <c r="G8" s="54" t="s">
        <v>60</v>
      </c>
      <c r="H8" s="54"/>
      <c r="I8" s="27"/>
    </row>
    <row r="9" spans="1:9" x14ac:dyDescent="0.45">
      <c r="A9" s="45"/>
      <c r="B9" s="45"/>
      <c r="C9" s="45"/>
      <c r="D9" s="45"/>
      <c r="E9" s="45"/>
      <c r="F9" s="45"/>
      <c r="G9" s="54"/>
      <c r="H9" s="54"/>
      <c r="I9" s="28"/>
    </row>
    <row r="10" spans="1:9" x14ac:dyDescent="0.45">
      <c r="A10" s="55" t="s">
        <v>64</v>
      </c>
      <c r="B10" s="55"/>
      <c r="C10" s="58"/>
      <c r="D10" s="58"/>
      <c r="E10" s="58"/>
      <c r="F10" s="58"/>
      <c r="G10" s="56" t="s">
        <v>65</v>
      </c>
      <c r="H10" s="56"/>
      <c r="I10" s="37"/>
    </row>
    <row r="11" spans="1:9" x14ac:dyDescent="0.45">
      <c r="A11" s="3"/>
      <c r="C11" s="59"/>
      <c r="D11" s="59"/>
      <c r="E11" s="59"/>
      <c r="F11" s="59"/>
      <c r="I11" s="38"/>
    </row>
    <row r="12" spans="1:9" ht="26" x14ac:dyDescent="0.45">
      <c r="A12" s="57" t="s">
        <v>63</v>
      </c>
      <c r="B12" s="57"/>
      <c r="C12" s="57"/>
      <c r="D12" s="57"/>
      <c r="E12" s="57"/>
      <c r="F12" s="57"/>
      <c r="G12" s="57"/>
      <c r="H12" s="57"/>
      <c r="I12" s="57"/>
    </row>
    <row r="13" spans="1:9" ht="20.149999999999999" customHeight="1" x14ac:dyDescent="0.45">
      <c r="A13" s="49" t="s">
        <v>7</v>
      </c>
      <c r="B13" s="49"/>
      <c r="C13" s="49" t="s">
        <v>43</v>
      </c>
      <c r="D13" s="49"/>
      <c r="E13" s="49" t="s">
        <v>44</v>
      </c>
      <c r="F13" s="49"/>
      <c r="G13" s="49"/>
      <c r="H13" s="49"/>
      <c r="I13" s="25" t="s">
        <v>8</v>
      </c>
    </row>
    <row r="14" spans="1:9" ht="16.5" customHeight="1" x14ac:dyDescent="0.45">
      <c r="A14" s="49"/>
      <c r="B14" s="49"/>
      <c r="C14" s="50"/>
      <c r="D14" s="50"/>
      <c r="E14" s="51"/>
      <c r="F14" s="52"/>
      <c r="G14" s="52"/>
      <c r="H14" s="52"/>
      <c r="I14" s="35"/>
    </row>
    <row r="15" spans="1:9" ht="16.5" customHeight="1" x14ac:dyDescent="0.45">
      <c r="A15" s="32"/>
      <c r="B15" s="32"/>
      <c r="C15" s="33"/>
      <c r="D15" s="33"/>
      <c r="E15" s="41"/>
      <c r="F15" s="42"/>
      <c r="G15" s="42"/>
      <c r="H15" s="42"/>
      <c r="I15" s="15"/>
    </row>
    <row r="16" spans="1:9" ht="25" customHeight="1" x14ac:dyDescent="0.45">
      <c r="A16" s="43"/>
      <c r="B16" s="43"/>
      <c r="C16" s="44"/>
      <c r="D16" s="44"/>
      <c r="E16" s="48"/>
      <c r="F16" s="48"/>
      <c r="G16" s="48"/>
      <c r="H16" s="48"/>
      <c r="I16" s="15"/>
    </row>
    <row r="17" spans="1:9" ht="25" customHeight="1" x14ac:dyDescent="0.45">
      <c r="A17" s="43"/>
      <c r="B17" s="43"/>
      <c r="C17" s="44"/>
      <c r="D17" s="44"/>
      <c r="E17" s="48"/>
      <c r="F17" s="48"/>
      <c r="G17" s="48"/>
      <c r="H17" s="48"/>
      <c r="I17" s="15"/>
    </row>
    <row r="18" spans="1:9" ht="16.5" customHeight="1" x14ac:dyDescent="0.45">
      <c r="A18" s="43"/>
      <c r="B18" s="43"/>
      <c r="C18" s="44"/>
      <c r="D18" s="44"/>
      <c r="E18" s="48"/>
      <c r="F18" s="48"/>
      <c r="G18" s="48"/>
      <c r="H18" s="48"/>
      <c r="I18" s="15"/>
    </row>
    <row r="19" spans="1:9" ht="16.5" customHeight="1" x14ac:dyDescent="0.45">
      <c r="A19" s="32"/>
      <c r="B19" s="32"/>
      <c r="C19" s="33"/>
      <c r="D19" s="33"/>
      <c r="E19" s="41"/>
      <c r="F19" s="41"/>
      <c r="G19" s="41"/>
      <c r="H19" s="41"/>
      <c r="I19" s="15"/>
    </row>
    <row r="20" spans="1:9" ht="16" customHeight="1" x14ac:dyDescent="0.45">
      <c r="A20" s="43"/>
      <c r="B20" s="43"/>
      <c r="C20" s="44"/>
      <c r="D20" s="44"/>
      <c r="E20" s="45"/>
      <c r="F20" s="45"/>
      <c r="G20" s="45"/>
      <c r="H20" s="45"/>
      <c r="I20" s="15"/>
    </row>
    <row r="21" spans="1:9" ht="16" customHeight="1" x14ac:dyDescent="0.45">
      <c r="A21" s="43"/>
      <c r="B21" s="43"/>
      <c r="C21" s="44"/>
      <c r="D21" s="44"/>
      <c r="E21" s="45"/>
      <c r="F21" s="45"/>
      <c r="G21" s="45"/>
      <c r="H21" s="45"/>
      <c r="I21" s="15"/>
    </row>
    <row r="22" spans="1:9" ht="16" customHeight="1" x14ac:dyDescent="0.45">
      <c r="A22" s="43"/>
      <c r="B22" s="43"/>
      <c r="C22" s="44"/>
      <c r="D22" s="44"/>
      <c r="E22" s="45"/>
      <c r="F22" s="45"/>
      <c r="G22" s="45"/>
      <c r="H22" s="45"/>
      <c r="I22" s="15"/>
    </row>
    <row r="23" spans="1:9" ht="16" customHeight="1" x14ac:dyDescent="0.45">
      <c r="A23" s="43"/>
      <c r="B23" s="43"/>
      <c r="C23" s="44"/>
      <c r="D23" s="44"/>
      <c r="E23" s="45"/>
      <c r="F23" s="45"/>
      <c r="G23" s="45"/>
      <c r="H23" s="45"/>
      <c r="I23" s="15"/>
    </row>
    <row r="24" spans="1:9" ht="16" customHeight="1" x14ac:dyDescent="0.45">
      <c r="A24" s="43"/>
      <c r="B24" s="43"/>
      <c r="C24" s="44"/>
      <c r="D24" s="44"/>
      <c r="E24" s="45"/>
      <c r="F24" s="45"/>
      <c r="G24" s="45"/>
      <c r="H24" s="45"/>
      <c r="I24" s="15"/>
    </row>
    <row r="25" spans="1:9" ht="16" customHeight="1" x14ac:dyDescent="0.45">
      <c r="A25" s="43"/>
      <c r="B25" s="43"/>
      <c r="C25" s="44"/>
      <c r="D25" s="44"/>
      <c r="E25" s="45"/>
      <c r="F25" s="45"/>
      <c r="G25" s="45"/>
      <c r="H25" s="45"/>
      <c r="I25" s="15"/>
    </row>
    <row r="26" spans="1:9" ht="16" customHeight="1" x14ac:dyDescent="0.45">
      <c r="A26" s="32"/>
      <c r="B26" s="32"/>
      <c r="C26" s="33"/>
      <c r="D26" s="33"/>
      <c r="E26" s="30"/>
      <c r="F26" s="30"/>
      <c r="G26" s="30"/>
      <c r="H26" s="30"/>
      <c r="I26" s="15"/>
    </row>
    <row r="27" spans="1:9" ht="16" customHeight="1" x14ac:dyDescent="0.45">
      <c r="A27" s="32"/>
      <c r="B27" s="32"/>
      <c r="C27" s="33"/>
      <c r="D27" s="33"/>
      <c r="E27" s="30"/>
      <c r="F27" s="30"/>
      <c r="G27" s="30"/>
      <c r="H27" s="30"/>
      <c r="I27" s="15"/>
    </row>
    <row r="28" spans="1:9" ht="16" customHeight="1" x14ac:dyDescent="0.45">
      <c r="A28" s="32"/>
      <c r="B28" s="32"/>
      <c r="C28" s="33"/>
      <c r="D28" s="33"/>
      <c r="E28" s="30"/>
      <c r="F28" s="30"/>
      <c r="G28" s="30"/>
      <c r="H28" s="30"/>
      <c r="I28" s="15"/>
    </row>
    <row r="29" spans="1:9" ht="16" customHeight="1" x14ac:dyDescent="0.45">
      <c r="A29" s="32"/>
      <c r="B29" s="32"/>
      <c r="C29" s="33"/>
      <c r="D29" s="33"/>
      <c r="E29" s="30"/>
      <c r="F29" s="30"/>
      <c r="G29" s="30"/>
      <c r="H29" s="30"/>
      <c r="I29" s="15"/>
    </row>
    <row r="30" spans="1:9" ht="13.5" customHeight="1" x14ac:dyDescent="0.45">
      <c r="A30" s="22" t="s">
        <v>24</v>
      </c>
      <c r="B30" s="23"/>
      <c r="C30" s="23"/>
      <c r="D30" s="23"/>
      <c r="E30" s="18"/>
      <c r="F30" s="18"/>
      <c r="G30" s="18"/>
      <c r="H30" s="18"/>
      <c r="I30" s="15"/>
    </row>
    <row r="31" spans="1:9" ht="13.5" customHeight="1" x14ac:dyDescent="0.45">
      <c r="A31" s="16" t="s">
        <v>25</v>
      </c>
      <c r="B31" s="16"/>
      <c r="C31" s="16"/>
      <c r="D31" s="16"/>
      <c r="E31" s="18"/>
      <c r="F31" s="18"/>
      <c r="G31" s="18"/>
      <c r="H31" s="18"/>
      <c r="I31" s="15"/>
    </row>
    <row r="32" spans="1:9" ht="13.5" customHeight="1" x14ac:dyDescent="0.45">
      <c r="A32" s="17" t="s">
        <v>26</v>
      </c>
      <c r="B32" s="17"/>
      <c r="C32" s="17"/>
      <c r="D32" s="17"/>
      <c r="E32" s="18"/>
      <c r="F32" s="18"/>
      <c r="G32" s="18"/>
      <c r="H32" s="18"/>
      <c r="I32" s="15"/>
    </row>
    <row r="33" spans="1:9" ht="13.5" customHeight="1" x14ac:dyDescent="0.45">
      <c r="A33" s="17" t="s">
        <v>27</v>
      </c>
      <c r="B33" s="17"/>
      <c r="C33" s="17"/>
      <c r="D33" s="17"/>
      <c r="E33" s="18"/>
      <c r="F33" s="18"/>
      <c r="G33" s="18"/>
      <c r="H33" s="18"/>
      <c r="I33" s="15"/>
    </row>
    <row r="34" spans="1:9" ht="13.5" customHeight="1" x14ac:dyDescent="0.45">
      <c r="A34" s="17"/>
      <c r="B34" s="17"/>
      <c r="C34" s="17"/>
      <c r="D34" s="17"/>
      <c r="E34" s="18"/>
      <c r="F34" s="18"/>
      <c r="G34" s="18"/>
      <c r="H34" s="18"/>
      <c r="I34" s="15"/>
    </row>
    <row r="35" spans="1:9" ht="13.5" customHeight="1" x14ac:dyDescent="0.45">
      <c r="A35" s="17"/>
      <c r="B35" s="17"/>
      <c r="C35" s="17"/>
      <c r="D35" s="17"/>
      <c r="E35" s="18"/>
      <c r="F35" s="18"/>
      <c r="G35" s="18"/>
      <c r="H35" s="18"/>
      <c r="I35" s="15"/>
    </row>
    <row r="36" spans="1:9" ht="13.5" customHeight="1" thickBot="1" x14ac:dyDescent="0.5">
      <c r="A36" s="1"/>
      <c r="C36" s="43"/>
      <c r="D36" s="43"/>
      <c r="F36" s="47" t="s">
        <v>28</v>
      </c>
      <c r="G36" s="47"/>
      <c r="H36" s="19" t="s">
        <v>29</v>
      </c>
      <c r="I36" s="20">
        <f>SUM(I14:I35)</f>
        <v>0</v>
      </c>
    </row>
    <row r="37" spans="1:9" ht="13.5" customHeight="1" x14ac:dyDescent="0.45">
      <c r="C37" s="43"/>
      <c r="D37" s="43"/>
      <c r="F37" s="43"/>
      <c r="G37" s="43"/>
      <c r="H37" s="1"/>
    </row>
    <row r="38" spans="1:9" ht="17.5" thickBot="1" x14ac:dyDescent="0.5">
      <c r="C38" s="43"/>
      <c r="D38" s="43"/>
      <c r="F38" s="46" t="s">
        <v>30</v>
      </c>
      <c r="G38" s="46"/>
      <c r="H38" s="5" t="s">
        <v>29</v>
      </c>
      <c r="I38" s="6"/>
    </row>
    <row r="39" spans="1:9" x14ac:dyDescent="0.45">
      <c r="C39" s="43"/>
      <c r="D39" s="43"/>
    </row>
    <row r="40" spans="1:9" x14ac:dyDescent="0.45">
      <c r="A40" s="9" t="s">
        <v>31</v>
      </c>
    </row>
    <row r="41" spans="1:9" x14ac:dyDescent="0.45">
      <c r="A41" s="9" t="s">
        <v>32</v>
      </c>
    </row>
    <row r="42" spans="1:9" x14ac:dyDescent="0.45">
      <c r="A42" s="9" t="s">
        <v>33</v>
      </c>
    </row>
    <row r="43" spans="1:9" x14ac:dyDescent="0.45">
      <c r="A43" s="9" t="s">
        <v>34</v>
      </c>
    </row>
  </sheetData>
  <mergeCells count="54">
    <mergeCell ref="A13:B13"/>
    <mergeCell ref="C13:D13"/>
    <mergeCell ref="E13:H13"/>
    <mergeCell ref="A10:B10"/>
    <mergeCell ref="G10:H10"/>
    <mergeCell ref="A12:I12"/>
    <mergeCell ref="C10:F10"/>
    <mergeCell ref="C11:F11"/>
    <mergeCell ref="H5:I5"/>
    <mergeCell ref="G8:H8"/>
    <mergeCell ref="A9:B9"/>
    <mergeCell ref="C9:F9"/>
    <mergeCell ref="G9:H9"/>
    <mergeCell ref="A14:B14"/>
    <mergeCell ref="C14:D14"/>
    <mergeCell ref="E14:H14"/>
    <mergeCell ref="A16:B16"/>
    <mergeCell ref="C16:D16"/>
    <mergeCell ref="E16:H16"/>
    <mergeCell ref="A17:B17"/>
    <mergeCell ref="C17:D17"/>
    <mergeCell ref="E17:H17"/>
    <mergeCell ref="C22:D22"/>
    <mergeCell ref="E22:H22"/>
    <mergeCell ref="A18:B18"/>
    <mergeCell ref="C18:D18"/>
    <mergeCell ref="E18:H18"/>
    <mergeCell ref="A20:B20"/>
    <mergeCell ref="C20:D20"/>
    <mergeCell ref="E20:H20"/>
    <mergeCell ref="C38:D38"/>
    <mergeCell ref="F38:G38"/>
    <mergeCell ref="C39:D39"/>
    <mergeCell ref="A6:B6"/>
    <mergeCell ref="C6:F6"/>
    <mergeCell ref="A8:B8"/>
    <mergeCell ref="C8:F8"/>
    <mergeCell ref="C36:D36"/>
    <mergeCell ref="F36:G36"/>
    <mergeCell ref="A23:B23"/>
    <mergeCell ref="C23:D23"/>
    <mergeCell ref="E23:H23"/>
    <mergeCell ref="A21:B21"/>
    <mergeCell ref="C21:D21"/>
    <mergeCell ref="E21:H21"/>
    <mergeCell ref="A22:B22"/>
    <mergeCell ref="A24:B24"/>
    <mergeCell ref="C24:D24"/>
    <mergeCell ref="E24:H24"/>
    <mergeCell ref="C37:D37"/>
    <mergeCell ref="F37:G37"/>
    <mergeCell ref="A25:B25"/>
    <mergeCell ref="C25:D25"/>
    <mergeCell ref="E25:H25"/>
  </mergeCells>
  <phoneticPr fontId="1" type="noConversion"/>
  <pageMargins left="0.7" right="0.7" top="0.75" bottom="0.75" header="0.3" footer="0.3"/>
  <pageSetup paperSize="9" orientation="portrait" horizontalDpi="4294967293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6"/>
  <sheetViews>
    <sheetView zoomScaleNormal="100" workbookViewId="0">
      <selection activeCell="H28" sqref="H28"/>
    </sheetView>
  </sheetViews>
  <sheetFormatPr defaultRowHeight="17" x14ac:dyDescent="0.45"/>
  <cols>
    <col min="1" max="1" width="9.08203125" bestFit="1" customWidth="1"/>
    <col min="2" max="2" width="2.58203125" customWidth="1"/>
    <col min="3" max="3" width="9.08203125" bestFit="1" customWidth="1"/>
    <col min="5" max="5" width="6.08203125" customWidth="1"/>
    <col min="6" max="6" width="6.58203125" customWidth="1"/>
    <col min="7" max="8" width="11.25" customWidth="1"/>
    <col min="9" max="9" width="15.33203125" customWidth="1"/>
    <col min="10" max="10" width="10.75" bestFit="1" customWidth="1"/>
    <col min="11" max="11" width="9.75" bestFit="1" customWidth="1"/>
    <col min="12" max="12" width="10.75" bestFit="1" customWidth="1"/>
  </cols>
  <sheetData>
    <row r="1" spans="1:9" ht="25.5" x14ac:dyDescent="0.45">
      <c r="A1" s="11" t="s">
        <v>66</v>
      </c>
      <c r="B1" s="2"/>
    </row>
    <row r="2" spans="1:9" x14ac:dyDescent="0.45">
      <c r="A2" s="12" t="s">
        <v>67</v>
      </c>
      <c r="B2" s="2"/>
    </row>
    <row r="3" spans="1:9" x14ac:dyDescent="0.45">
      <c r="A3" s="12" t="s">
        <v>68</v>
      </c>
      <c r="B3" s="2"/>
    </row>
    <row r="4" spans="1:9" x14ac:dyDescent="0.45">
      <c r="A4" s="12" t="s">
        <v>69</v>
      </c>
      <c r="B4" s="2"/>
    </row>
    <row r="5" spans="1:9" ht="21" x14ac:dyDescent="0.45">
      <c r="A5" s="12" t="s">
        <v>41</v>
      </c>
      <c r="B5" s="2"/>
      <c r="H5" s="53" t="s">
        <v>70</v>
      </c>
      <c r="I5" s="53"/>
    </row>
    <row r="7" spans="1:9" x14ac:dyDescent="0.45">
      <c r="A7" s="10" t="s">
        <v>71</v>
      </c>
      <c r="B7" s="4"/>
      <c r="C7" s="30" t="s">
        <v>56</v>
      </c>
      <c r="D7" s="30"/>
      <c r="E7" s="30"/>
      <c r="F7" s="30"/>
      <c r="G7" s="21"/>
      <c r="H7" s="2"/>
      <c r="I7" s="2"/>
    </row>
    <row r="8" spans="1:9" x14ac:dyDescent="0.45">
      <c r="A8" s="45" t="s">
        <v>53</v>
      </c>
      <c r="B8" s="45"/>
      <c r="C8" s="45"/>
      <c r="D8" s="45"/>
      <c r="E8" s="45"/>
      <c r="F8" s="45"/>
      <c r="G8" s="54" t="s">
        <v>54</v>
      </c>
      <c r="H8" s="54"/>
      <c r="I8" s="26"/>
    </row>
    <row r="9" spans="1:9" ht="17" customHeight="1" x14ac:dyDescent="0.45">
      <c r="A9" s="45" t="s">
        <v>72</v>
      </c>
      <c r="B9" s="45"/>
      <c r="C9" s="48"/>
      <c r="D9" s="65"/>
      <c r="E9" s="65"/>
      <c r="F9" s="65"/>
      <c r="G9" s="54" t="s">
        <v>55</v>
      </c>
      <c r="H9" s="54"/>
      <c r="I9" s="40"/>
    </row>
    <row r="10" spans="1:9" x14ac:dyDescent="0.45">
      <c r="A10" s="55" t="s">
        <v>73</v>
      </c>
      <c r="B10" s="55"/>
      <c r="C10" s="58"/>
      <c r="D10" s="58"/>
      <c r="E10" s="58"/>
      <c r="F10" s="58"/>
      <c r="G10" s="56" t="s">
        <v>65</v>
      </c>
      <c r="H10" s="56"/>
      <c r="I10" s="37"/>
    </row>
    <row r="11" spans="1:9" x14ac:dyDescent="0.45">
      <c r="A11" s="3"/>
      <c r="C11" s="59"/>
      <c r="D11" s="59"/>
      <c r="E11" s="59"/>
      <c r="F11" s="59"/>
      <c r="I11" s="38"/>
    </row>
    <row r="12" spans="1:9" ht="26" x14ac:dyDescent="0.45">
      <c r="A12" s="57" t="s">
        <v>74</v>
      </c>
      <c r="B12" s="57"/>
      <c r="C12" s="57"/>
      <c r="D12" s="57"/>
      <c r="E12" s="57"/>
      <c r="F12" s="57"/>
      <c r="G12" s="57"/>
      <c r="H12" s="57"/>
      <c r="I12" s="57"/>
    </row>
    <row r="13" spans="1:9" x14ac:dyDescent="0.45">
      <c r="A13" s="69" t="s">
        <v>75</v>
      </c>
      <c r="B13" s="70"/>
      <c r="C13" s="69" t="s">
        <v>76</v>
      </c>
      <c r="D13" s="70"/>
      <c r="E13" s="49" t="s">
        <v>77</v>
      </c>
      <c r="F13" s="49"/>
      <c r="G13" s="49"/>
      <c r="H13" s="49"/>
      <c r="I13" s="66" t="s">
        <v>8</v>
      </c>
    </row>
    <row r="14" spans="1:9" ht="15" customHeight="1" x14ac:dyDescent="0.45">
      <c r="A14" s="71"/>
      <c r="B14" s="72"/>
      <c r="C14" s="71"/>
      <c r="D14" s="72"/>
      <c r="E14" s="49" t="s">
        <v>78</v>
      </c>
      <c r="F14" s="49"/>
      <c r="G14" s="25" t="s">
        <v>79</v>
      </c>
      <c r="H14" s="24" t="s">
        <v>80</v>
      </c>
      <c r="I14" s="67"/>
    </row>
    <row r="15" spans="1:9" ht="15" customHeight="1" x14ac:dyDescent="0.45">
      <c r="A15" s="49"/>
      <c r="B15" s="49"/>
      <c r="C15" s="50"/>
      <c r="D15" s="50"/>
      <c r="E15" s="73"/>
      <c r="F15" s="73"/>
      <c r="G15" s="39"/>
      <c r="H15" s="39"/>
      <c r="I15" s="39"/>
    </row>
    <row r="16" spans="1:9" ht="15" customHeight="1" x14ac:dyDescent="0.45">
      <c r="A16" s="43"/>
      <c r="B16" s="43"/>
      <c r="C16" s="44"/>
      <c r="D16" s="44"/>
      <c r="E16" s="68"/>
      <c r="F16" s="68"/>
      <c r="G16" s="34"/>
      <c r="H16" s="34"/>
      <c r="I16" s="34"/>
    </row>
    <row r="17" spans="1:12" ht="15" customHeight="1" x14ac:dyDescent="0.45">
      <c r="A17" s="43"/>
      <c r="B17" s="43"/>
      <c r="C17" s="44"/>
      <c r="D17" s="44"/>
      <c r="E17" s="68"/>
      <c r="F17" s="68"/>
      <c r="G17" s="34"/>
      <c r="H17" s="34"/>
      <c r="I17" s="34"/>
    </row>
    <row r="18" spans="1:12" ht="15" customHeight="1" x14ac:dyDescent="0.45">
      <c r="A18" s="43"/>
      <c r="B18" s="43"/>
      <c r="C18" s="44"/>
      <c r="D18" s="44"/>
      <c r="E18" s="68"/>
      <c r="F18" s="68"/>
      <c r="G18" s="34"/>
      <c r="H18" s="34"/>
      <c r="I18" s="34"/>
    </row>
    <row r="19" spans="1:12" ht="15" customHeight="1" x14ac:dyDescent="0.45">
      <c r="A19" s="43"/>
      <c r="B19" s="43"/>
      <c r="C19" s="44"/>
      <c r="D19" s="44"/>
      <c r="E19" s="68"/>
      <c r="F19" s="68"/>
      <c r="G19" s="34"/>
      <c r="H19" s="34"/>
      <c r="I19" s="34"/>
      <c r="L19" s="14"/>
    </row>
    <row r="20" spans="1:12" ht="15" customHeight="1" x14ac:dyDescent="0.45">
      <c r="A20" s="43"/>
      <c r="B20" s="43"/>
      <c r="C20" s="44"/>
      <c r="D20" s="44"/>
      <c r="E20" s="68"/>
      <c r="F20" s="68"/>
      <c r="G20" s="34"/>
      <c r="H20" s="34"/>
      <c r="I20" s="34"/>
    </row>
    <row r="21" spans="1:12" ht="13.5" customHeight="1" x14ac:dyDescent="0.45">
      <c r="A21" s="43"/>
      <c r="B21" s="43"/>
      <c r="C21" s="44"/>
      <c r="D21" s="44"/>
      <c r="E21" s="68"/>
      <c r="F21" s="68"/>
      <c r="G21" s="34"/>
      <c r="H21" s="34"/>
      <c r="I21" s="34"/>
    </row>
    <row r="22" spans="1:12" ht="13.5" customHeight="1" x14ac:dyDescent="0.45">
      <c r="A22" s="43"/>
      <c r="B22" s="43"/>
      <c r="C22" s="44"/>
      <c r="D22" s="44"/>
      <c r="E22" s="68"/>
      <c r="F22" s="68"/>
      <c r="G22" s="34"/>
      <c r="H22" s="34"/>
      <c r="I22" s="34"/>
    </row>
    <row r="23" spans="1:12" ht="13.5" customHeight="1" x14ac:dyDescent="0.45">
      <c r="A23" s="43"/>
      <c r="B23" s="43"/>
      <c r="C23" s="44"/>
      <c r="D23" s="44"/>
      <c r="E23" s="68"/>
      <c r="F23" s="68"/>
      <c r="G23" s="34"/>
      <c r="H23" s="34"/>
      <c r="I23" s="34"/>
      <c r="J23" s="13"/>
    </row>
    <row r="24" spans="1:12" ht="13.5" customHeight="1" x14ac:dyDescent="0.45">
      <c r="A24" s="43"/>
      <c r="B24" s="43"/>
      <c r="C24" s="44"/>
      <c r="D24" s="44"/>
      <c r="E24" s="68"/>
      <c r="F24" s="68"/>
      <c r="G24" s="34"/>
      <c r="H24" s="34"/>
      <c r="I24" s="34"/>
      <c r="J24" s="13"/>
      <c r="K24" s="13"/>
    </row>
    <row r="25" spans="1:12" ht="13.5" customHeight="1" x14ac:dyDescent="0.45">
      <c r="A25" s="43"/>
      <c r="B25" s="43"/>
      <c r="C25" s="44"/>
      <c r="D25" s="44"/>
      <c r="E25" s="68"/>
      <c r="F25" s="68"/>
      <c r="G25" s="34"/>
      <c r="H25" s="34"/>
      <c r="I25" s="34"/>
      <c r="J25" t="s">
        <v>81</v>
      </c>
      <c r="K25" t="s">
        <v>82</v>
      </c>
    </row>
    <row r="26" spans="1:12" ht="13.5" customHeight="1" x14ac:dyDescent="0.45">
      <c r="A26" s="43"/>
      <c r="B26" s="43"/>
      <c r="C26" s="44"/>
      <c r="D26" s="44"/>
      <c r="E26" s="44"/>
      <c r="F26" s="44"/>
      <c r="G26" s="34"/>
      <c r="H26" s="34"/>
      <c r="I26" s="34"/>
      <c r="J26" s="13">
        <f ca="1">SUMIF(E14:H38,"Accommodation*",I14:I38)</f>
        <v>0</v>
      </c>
      <c r="K26" s="7">
        <f ca="1">SUMIF(E14:H38,"CAFÉ FOOD*",I14:I38)</f>
        <v>0</v>
      </c>
      <c r="L26" s="13">
        <f ca="1">K26+J26</f>
        <v>0</v>
      </c>
    </row>
    <row r="27" spans="1:12" ht="13.5" customHeight="1" x14ac:dyDescent="0.45">
      <c r="A27" s="43"/>
      <c r="B27" s="43"/>
      <c r="C27" s="44"/>
      <c r="D27" s="44"/>
      <c r="E27" s="44"/>
      <c r="F27" s="44"/>
      <c r="G27" s="34"/>
      <c r="H27" s="34"/>
      <c r="I27" s="34"/>
      <c r="K27" s="13"/>
    </row>
    <row r="28" spans="1:12" ht="13.5" customHeight="1" x14ac:dyDescent="0.45">
      <c r="A28" s="43"/>
      <c r="B28" s="43"/>
      <c r="C28" s="44"/>
      <c r="D28" s="44"/>
      <c r="E28" s="29"/>
      <c r="F28" s="29"/>
      <c r="G28" s="39" t="s">
        <v>80</v>
      </c>
      <c r="H28" s="39"/>
      <c r="I28" s="34"/>
      <c r="K28" s="13"/>
    </row>
    <row r="29" spans="1:12" ht="13.5" customHeight="1" x14ac:dyDescent="0.45">
      <c r="A29" s="22"/>
      <c r="B29" s="23"/>
      <c r="C29" s="23"/>
      <c r="D29" s="23"/>
      <c r="E29" s="44"/>
      <c r="F29" s="44"/>
      <c r="G29" s="39" t="s">
        <v>79</v>
      </c>
      <c r="H29" s="39"/>
      <c r="I29" s="34"/>
      <c r="K29" s="13"/>
    </row>
    <row r="30" spans="1:12" ht="13.5" customHeight="1" x14ac:dyDescent="0.45">
      <c r="A30" s="22"/>
      <c r="B30" s="16"/>
      <c r="C30" s="16"/>
      <c r="D30" s="16"/>
      <c r="E30" s="44"/>
      <c r="F30" s="44"/>
      <c r="G30" s="34"/>
      <c r="H30" s="34"/>
      <c r="I30" s="34"/>
      <c r="K30" s="13"/>
    </row>
    <row r="31" spans="1:12" ht="13.5" customHeight="1" x14ac:dyDescent="0.45">
      <c r="A31" s="22"/>
      <c r="B31" s="16"/>
      <c r="C31" s="16"/>
      <c r="D31" s="16"/>
      <c r="E31" s="44"/>
      <c r="F31" s="44"/>
      <c r="G31" s="34"/>
      <c r="H31" s="34"/>
      <c r="I31" s="34"/>
      <c r="K31" s="13"/>
    </row>
    <row r="32" spans="1:12" ht="13.5" customHeight="1" x14ac:dyDescent="0.45">
      <c r="A32" s="17"/>
      <c r="B32" s="17"/>
      <c r="C32" s="17"/>
      <c r="D32" s="17"/>
      <c r="E32" s="44"/>
      <c r="F32" s="44"/>
      <c r="G32" s="34"/>
      <c r="H32" s="34"/>
      <c r="I32" s="34"/>
      <c r="K32" s="13"/>
    </row>
    <row r="33" spans="1:11" ht="13.5" customHeight="1" x14ac:dyDescent="0.45">
      <c r="A33" s="17"/>
      <c r="B33" s="32"/>
      <c r="C33" s="33"/>
      <c r="D33" s="33"/>
      <c r="E33" s="34"/>
      <c r="F33" s="34"/>
      <c r="G33" s="34"/>
      <c r="H33" s="34"/>
      <c r="I33" s="34"/>
      <c r="K33" s="13"/>
    </row>
    <row r="34" spans="1:11" ht="13.5" customHeight="1" x14ac:dyDescent="0.45">
      <c r="A34" s="17"/>
      <c r="B34" s="32"/>
      <c r="C34" s="33"/>
      <c r="D34" s="33"/>
      <c r="E34" s="34"/>
      <c r="F34" s="34"/>
      <c r="G34" s="34"/>
      <c r="H34" s="34"/>
      <c r="I34" s="34"/>
      <c r="K34" s="13"/>
    </row>
    <row r="35" spans="1:11" ht="13.5" customHeight="1" x14ac:dyDescent="0.45">
      <c r="A35" s="17"/>
      <c r="B35" s="32"/>
      <c r="C35" s="33"/>
      <c r="D35" s="33"/>
      <c r="E35" s="34"/>
      <c r="F35" s="34"/>
      <c r="G35" s="34"/>
      <c r="H35" s="34"/>
      <c r="I35" s="34"/>
      <c r="K35" s="13"/>
    </row>
    <row r="36" spans="1:11" ht="13.5" customHeight="1" x14ac:dyDescent="0.45">
      <c r="A36" s="32"/>
      <c r="B36" s="32"/>
      <c r="C36" s="33"/>
      <c r="D36" s="33"/>
      <c r="E36" s="34"/>
      <c r="F36" s="34"/>
      <c r="G36" s="34"/>
      <c r="H36" s="34"/>
      <c r="I36" s="34"/>
      <c r="K36" s="13"/>
    </row>
    <row r="37" spans="1:11" ht="13.5" customHeight="1" x14ac:dyDescent="0.45">
      <c r="A37" s="32"/>
      <c r="B37" s="32"/>
      <c r="C37" s="33"/>
      <c r="D37" s="33"/>
      <c r="E37" s="34"/>
      <c r="F37" s="34"/>
      <c r="G37" s="34"/>
      <c r="H37" s="34"/>
      <c r="I37" s="34"/>
      <c r="K37" s="13"/>
    </row>
    <row r="38" spans="1:11" ht="13.5" customHeight="1" x14ac:dyDescent="0.45">
      <c r="A38" s="43"/>
      <c r="B38" s="43"/>
      <c r="C38" s="44"/>
      <c r="D38" s="44"/>
      <c r="E38" s="68"/>
      <c r="F38" s="68"/>
      <c r="G38" s="34"/>
      <c r="H38" s="34"/>
      <c r="I38" s="34"/>
      <c r="K38" s="13"/>
    </row>
    <row r="39" spans="1:11" ht="13.5" customHeight="1" thickBot="1" x14ac:dyDescent="0.5">
      <c r="A39" s="1"/>
      <c r="C39" s="43"/>
      <c r="D39" s="43"/>
      <c r="F39" s="47" t="s">
        <v>83</v>
      </c>
      <c r="G39" s="47"/>
      <c r="H39" s="19" t="s">
        <v>84</v>
      </c>
      <c r="I39" s="20">
        <f>SUM(I15:I38)</f>
        <v>0</v>
      </c>
    </row>
    <row r="40" spans="1:11" x14ac:dyDescent="0.45">
      <c r="C40" s="43"/>
      <c r="D40" s="43"/>
      <c r="F40" s="43"/>
      <c r="G40" s="43"/>
      <c r="H40" s="1"/>
    </row>
    <row r="41" spans="1:11" ht="13.5" customHeight="1" thickBot="1" x14ac:dyDescent="0.5">
      <c r="C41" s="43"/>
      <c r="D41" s="43"/>
      <c r="F41" s="46" t="s">
        <v>85</v>
      </c>
      <c r="G41" s="46"/>
      <c r="H41" s="5" t="s">
        <v>84</v>
      </c>
      <c r="I41" s="6"/>
    </row>
    <row r="42" spans="1:11" x14ac:dyDescent="0.45">
      <c r="C42" s="43"/>
      <c r="D42" s="43"/>
    </row>
    <row r="43" spans="1:11" x14ac:dyDescent="0.45">
      <c r="A43" s="9" t="s">
        <v>86</v>
      </c>
    </row>
    <row r="44" spans="1:11" x14ac:dyDescent="0.45">
      <c r="A44" s="9" t="s">
        <v>87</v>
      </c>
    </row>
    <row r="45" spans="1:11" x14ac:dyDescent="0.45">
      <c r="A45" s="9" t="s">
        <v>88</v>
      </c>
    </row>
    <row r="46" spans="1:11" x14ac:dyDescent="0.45">
      <c r="A46" s="9" t="s">
        <v>89</v>
      </c>
    </row>
  </sheetData>
  <mergeCells count="70">
    <mergeCell ref="A38:B38"/>
    <mergeCell ref="E38:F38"/>
    <mergeCell ref="C39:D39"/>
    <mergeCell ref="F39:G39"/>
    <mergeCell ref="A26:B26"/>
    <mergeCell ref="E26:F26"/>
    <mergeCell ref="A27:B27"/>
    <mergeCell ref="C27:D27"/>
    <mergeCell ref="E27:F27"/>
    <mergeCell ref="A28:B28"/>
    <mergeCell ref="C28:D28"/>
    <mergeCell ref="E31:F32"/>
    <mergeCell ref="C26:D26"/>
    <mergeCell ref="E29:F30"/>
    <mergeCell ref="A23:B23"/>
    <mergeCell ref="E23:F23"/>
    <mergeCell ref="A24:B24"/>
    <mergeCell ref="E24:F24"/>
    <mergeCell ref="A25:B25"/>
    <mergeCell ref="E25:F25"/>
    <mergeCell ref="C23:D23"/>
    <mergeCell ref="C24:D24"/>
    <mergeCell ref="C25:D25"/>
    <mergeCell ref="A22:B22"/>
    <mergeCell ref="E22:F22"/>
    <mergeCell ref="C20:D20"/>
    <mergeCell ref="C21:D21"/>
    <mergeCell ref="C22:D22"/>
    <mergeCell ref="A20:B20"/>
    <mergeCell ref="E20:F20"/>
    <mergeCell ref="A21:B21"/>
    <mergeCell ref="E21:F21"/>
    <mergeCell ref="A17:B17"/>
    <mergeCell ref="E17:F17"/>
    <mergeCell ref="A18:B18"/>
    <mergeCell ref="E18:F18"/>
    <mergeCell ref="A19:B19"/>
    <mergeCell ref="E19:F19"/>
    <mergeCell ref="C17:D17"/>
    <mergeCell ref="C18:D18"/>
    <mergeCell ref="C19:D19"/>
    <mergeCell ref="C15:D15"/>
    <mergeCell ref="C16:D16"/>
    <mergeCell ref="E16:F16"/>
    <mergeCell ref="A10:B10"/>
    <mergeCell ref="C42:D42"/>
    <mergeCell ref="A13:B14"/>
    <mergeCell ref="C13:D14"/>
    <mergeCell ref="E14:F14"/>
    <mergeCell ref="A15:B15"/>
    <mergeCell ref="E15:F15"/>
    <mergeCell ref="A16:B16"/>
    <mergeCell ref="C38:D38"/>
    <mergeCell ref="C40:D40"/>
    <mergeCell ref="F40:G40"/>
    <mergeCell ref="C41:D41"/>
    <mergeCell ref="F41:G41"/>
    <mergeCell ref="G10:H10"/>
    <mergeCell ref="A12:I12"/>
    <mergeCell ref="E13:H13"/>
    <mergeCell ref="H5:I5"/>
    <mergeCell ref="A8:B8"/>
    <mergeCell ref="C8:F8"/>
    <mergeCell ref="G8:H8"/>
    <mergeCell ref="A9:B9"/>
    <mergeCell ref="C9:F9"/>
    <mergeCell ref="G9:H9"/>
    <mergeCell ref="I13:I14"/>
    <mergeCell ref="C10:F10"/>
    <mergeCell ref="C11:F1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HOTEL</vt:lpstr>
      <vt:lpstr>HOTEL BILL</vt:lpstr>
      <vt:lpstr>RESTAURANT</vt:lpstr>
      <vt:lpstr>RESTAURANT BILL</vt:lpstr>
      <vt:lpstr>'HOTEL BILL'!Print_Area</vt:lpstr>
      <vt:lpstr>'RESTAURANT BILL'!Print_Area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</dc:creator>
  <cp:lastModifiedBy>JH MARINE</cp:lastModifiedBy>
  <cp:lastPrinted>2026-03-18T05:39:39Z</cp:lastPrinted>
  <dcterms:created xsi:type="dcterms:W3CDTF">2016-09-20T06:40:05Z</dcterms:created>
  <dcterms:modified xsi:type="dcterms:W3CDTF">2026-03-20T08:53:56Z</dcterms:modified>
</cp:coreProperties>
</file>