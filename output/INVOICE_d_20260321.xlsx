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4180" yWindow="4180" windowWidth="14670" windowHeight="10220" tabRatio="600" firstSheet="2" activeTab="2" autoFilterDateGrouping="1"/>
  </bookViews>
  <sheets>
    <sheet name="HOTEL" sheetId="1" state="visible" r:id="rId1"/>
    <sheet name="RESTAURANT" sheetId="2" state="visible" r:id="rId2"/>
    <sheet name="BILL-d" sheetId="3" state="visible" r:id="rId3"/>
    <sheet name="MEAL-d" sheetId="4" state="visible" r:id="rId4"/>
  </sheets>
  <definedNames>
    <definedName name="_xlnm.Print_Area" localSheetId="0">'HOTEL'!$A$1:$I$43</definedName>
    <definedName name="_xlnm.Print_Area" localSheetId="1">'RESTAURANT'!$A$1:$I$43</definedName>
    <definedName name="_xlnm.Print_Area" localSheetId="2">'BILL-d'!$A$1:$I$46</definedName>
    <definedName name="_xlnm.Print_Area" localSheetId="3">'MEAL-d'!$A$1:$I$46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_-;\-* #,##0_-;_-* &quot;-&quot;_-;_-@_-"/>
    <numFmt numFmtId="165" formatCode="0_);[Red]\(0\)"/>
    <numFmt numFmtId="166" formatCode="[$-409]d&quot;-&quot;mmm&quot;-&quot;yy;@"/>
    <numFmt numFmtId="167" formatCode="0_ "/>
    <numFmt numFmtId="168" formatCode="#,##0_);[Red]\(#,##0\)"/>
    <numFmt numFmtId="169" formatCode="#,##0;[Red](#,##0);-"/>
    <numFmt numFmtId="170" formatCode="yyyy-mm-dd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000000"/>
      <sz val="17"/>
      <scheme val="maj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color rgb="FF000000"/>
      <sz val="8"/>
      <scheme val="major"/>
    </font>
    <font>
      <name val="맑은 고딕"/>
      <charset val="129"/>
      <family val="3"/>
      <b val="1"/>
      <color theme="1"/>
      <sz val="1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b val="1"/>
      <color rgb="FF000000"/>
      <sz val="11"/>
      <scheme val="major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b val="1"/>
      <color theme="1"/>
      <sz val="11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2"/>
      <color theme="1"/>
      <sz val="11"/>
      <scheme val="minor"/>
    </font>
    <font>
      <name val="Arial"/>
      <family val="2"/>
      <color theme="1"/>
      <sz val="10"/>
    </font>
    <font>
      <name val="돋움"/>
      <charset val="129"/>
      <family val="3"/>
      <color theme="1"/>
      <sz val="10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b val="1"/>
      <color theme="1"/>
      <sz val="11"/>
      <scheme val="minor"/>
    </font>
    <font>
      <name val="Verdana"/>
      <family val="2"/>
      <b val="1"/>
      <sz val="10"/>
    </font>
    <font>
      <name val="Verdana"/>
      <family val="2"/>
      <b val="1"/>
      <color theme="1"/>
      <sz val="10"/>
    </font>
    <font>
      <name val="Verdana"/>
      <family val="2"/>
      <color theme="1"/>
      <sz val="10"/>
    </font>
    <font>
      <name val="돋움"/>
      <charset val="129"/>
      <family val="3"/>
      <b val="1"/>
      <sz val="10"/>
    </font>
    <font>
      <name val="돋움"/>
      <charset val="129"/>
      <family val="3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000000"/>
      <sz val="9"/>
      <scheme val="major"/>
    </font>
    <font>
      <name val="맑은 고딕"/>
      <charset val="129"/>
      <family val="3"/>
      <color theme="1"/>
      <sz val="10"/>
      <scheme val="minor"/>
    </font>
    <font>
      <name val="Arial"/>
      <family val="2"/>
      <color rgb="FF00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1" fillId="0" borderId="0" applyAlignment="1">
      <alignment vertical="center"/>
    </xf>
    <xf numFmtId="41" fontId="11" fillId="0" borderId="0" applyAlignment="1">
      <alignment vertical="center"/>
    </xf>
  </cellStyleXfs>
  <cellXfs count="10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4" fontId="0" fillId="0" borderId="2" applyAlignment="1" pivotButton="0" quotePrefix="0" xfId="1">
      <alignment vertical="center"/>
    </xf>
    <xf numFmtId="0" fontId="1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0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64" fontId="16" fillId="0" borderId="2" applyAlignment="1" pivotButton="0" quotePrefix="0" xfId="1">
      <alignment vertical="center"/>
    </xf>
    <xf numFmtId="0" fontId="9" fillId="0" borderId="0" applyAlignment="1" pivotButton="0" quotePrefix="0" xfId="0">
      <alignment vertical="center"/>
    </xf>
    <xf numFmtId="166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7" fontId="10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4" fontId="0" fillId="0" borderId="3" applyAlignment="1" pivotButton="0" quotePrefix="0" xfId="1">
      <alignment vertical="center"/>
    </xf>
    <xf numFmtId="0" fontId="0" fillId="0" borderId="1" applyAlignment="1" pivotButton="0" quotePrefix="0" xfId="0">
      <alignment horizontal="center" vertical="center"/>
    </xf>
    <xf numFmtId="166" fontId="3" fillId="0" borderId="0" applyAlignment="1" pivotButton="0" quotePrefix="0" xfId="0">
      <alignment horizontal="left" vertical="center"/>
    </xf>
    <xf numFmtId="20" fontId="0" fillId="0" borderId="0" applyAlignment="1" pivotButton="0" quotePrefix="0" xfId="0">
      <alignment horizontal="left" vertical="center"/>
    </xf>
    <xf numFmtId="168" fontId="0" fillId="0" borderId="3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/>
    </xf>
    <xf numFmtId="166" fontId="0" fillId="0" borderId="3" applyAlignment="1" pivotButton="0" quotePrefix="0" xfId="0">
      <alignment horizontal="center" vertical="center"/>
    </xf>
    <xf numFmtId="0" fontId="23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left" vertical="center"/>
    </xf>
    <xf numFmtId="2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8" fontId="0" fillId="0" borderId="3" applyAlignment="1" pivotButton="0" quotePrefix="0" xfId="0">
      <alignment horizontal="center" vertical="center"/>
    </xf>
    <xf numFmtId="0" fontId="0" fillId="0" borderId="0" pivotButton="0" quotePrefix="0" xfId="0"/>
    <xf numFmtId="166" fontId="3" fillId="0" borderId="0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" pivotButton="0" quotePrefix="0" xfId="0"/>
    <xf numFmtId="166" fontId="0" fillId="0" borderId="3" applyAlignment="1" pivotButton="0" quotePrefix="0" xfId="0">
      <alignment horizontal="center" vertical="center"/>
    </xf>
    <xf numFmtId="169" fontId="0" fillId="0" borderId="3" applyAlignment="1" pivotButton="0" quotePrefix="0" xfId="1">
      <alignment vertical="center"/>
    </xf>
    <xf numFmtId="166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vertical="center"/>
    </xf>
    <xf numFmtId="166" fontId="18" fillId="0" borderId="0" applyAlignment="1" pivotButton="0" quotePrefix="0" xfId="0">
      <alignment vertical="center"/>
    </xf>
    <xf numFmtId="0" fontId="0" fillId="0" borderId="2" pivotButton="0" quotePrefix="0" xfId="0"/>
    <xf numFmtId="169" fontId="16" fillId="0" borderId="2" applyAlignment="1" pivotButton="0" quotePrefix="0" xfId="1">
      <alignment vertical="center"/>
    </xf>
    <xf numFmtId="167" fontId="10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169" fontId="0" fillId="0" borderId="0" applyAlignment="1" pivotButton="0" quotePrefix="0" xfId="1">
      <alignment vertical="center"/>
    </xf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0" fillId="0" borderId="2" applyAlignment="1" pivotButton="0" quotePrefix="0" xfId="1">
      <alignment vertical="center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11" fillId="0" borderId="3" applyAlignment="1" pivotButton="0" quotePrefix="0" xfId="0">
      <alignment horizontal="center" vertical="center"/>
    </xf>
    <xf numFmtId="0" fontId="11" fillId="0" borderId="12" pivotButton="0" quotePrefix="0" xfId="0"/>
    <xf numFmtId="166" fontId="11" fillId="0" borderId="3" applyAlignment="1" pivotButton="0" quotePrefix="0" xfId="0">
      <alignment horizontal="center" vertical="center"/>
    </xf>
    <xf numFmtId="169" fontId="11" fillId="0" borderId="3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166" fontId="11" fillId="0" borderId="12" applyAlignment="1" pivotButton="0" quotePrefix="0" xfId="0">
      <alignment horizontal="center" vertical="center"/>
    </xf>
    <xf numFmtId="169" fontId="11" fillId="0" borderId="12" applyAlignment="1" pivotButton="0" quotePrefix="0" xfId="0">
      <alignment horizontal="center" vertical="center"/>
    </xf>
    <xf numFmtId="0" fontId="11" fillId="0" borderId="0" pivotButton="0" quotePrefix="0" xfId="0"/>
    <xf numFmtId="168" fontId="0" fillId="0" borderId="0" applyAlignment="1" pivotButton="0" quotePrefix="0" xfId="0">
      <alignment horizontal="center" vertical="center"/>
    </xf>
    <xf numFmtId="168" fontId="0" fillId="0" borderId="3" applyAlignment="1" pivotButton="0" quotePrefix="0" xfId="0">
      <alignment horizontal="center" vertical="center"/>
    </xf>
    <xf numFmtId="164" fontId="16" fillId="0" borderId="2" applyAlignment="1" pivotButton="0" quotePrefix="0" xfId="1">
      <alignment vertical="center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Windows 사용자</author>
  </authors>
  <commentList>
    <comment ref="A14" authorId="0" shapeId="0">
      <text>
        <t xml:space="preserve">Windows 사용자:
</t>
      </text>
    </comment>
  </commentList>
</comments>
</file>

<file path=xl/comments/comment2.xml><?xml version="1.0" encoding="utf-8"?>
<comments xmlns="http://schemas.openxmlformats.org/spreadsheetml/2006/main">
  <authors>
    <author>Windows 사용자</author>
  </authors>
  <commentList>
    <comment ref="A14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jpeg" Id="rId1" /><Relationship Type="http://schemas.openxmlformats.org/officeDocument/2006/relationships/image" Target="/xl/media/image6.jpeg" Id="rId2" /><Relationship Type="http://schemas.openxmlformats.org/officeDocument/2006/relationships/image" Target="/xl/media/image7.jpeg" Id="rId3" /><Relationship Type="http://schemas.openxmlformats.org/officeDocument/2006/relationships/image" Target="/xl/media/image8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.jpeg" Id="rId1" /><Relationship Type="http://schemas.openxmlformats.org/officeDocument/2006/relationships/image" Target="/xl/media/image10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1.jpeg" Id="rId1" /><Relationship Type="http://schemas.openxmlformats.org/officeDocument/2006/relationships/image" Target="/xl/media/image12.jpeg" Id="rId2" /><Relationship Type="http://schemas.openxmlformats.org/officeDocument/2006/relationships/image" Target="/xl/media/image13.jpeg" Id="rId3" /><Relationship Type="http://schemas.openxmlformats.org/officeDocument/2006/relationships/image" Target="/xl/media/image1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361951</colOff>
      <row>0</row>
      <rowOff>0</rowOff>
    </from>
    <to>
      <col>8</col>
      <colOff>723900</colOff>
      <row>3</row>
      <rowOff>136555</rowOff>
    </to>
    <pic>
      <nvPicPr>
        <cNvPr id="4" name="그림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457701" y="0"/>
          <a:ext cx="1219199" cy="8890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361951</colOff>
      <row>0</row>
      <rowOff>0</rowOff>
    </from>
    <to>
      <col>8</col>
      <colOff>723900</colOff>
      <row>3</row>
      <rowOff>136555</rowOff>
    </to>
    <pic>
      <nvPicPr>
        <cNvPr id="3" name="그림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457701" y="0"/>
          <a:ext cx="1219199" cy="8890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361951</colOff>
      <row>0</row>
      <rowOff>0</rowOff>
    </from>
    <to>
      <col>8</col>
      <colOff>723900</colOff>
      <row>3</row>
      <rowOff>136555</rowOff>
    </to>
    <pic>
      <nvPicPr>
        <cNvPr id="5" name="그림 4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4457701" y="0"/>
          <a:ext cx="1219199" cy="8890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514350</colOff>
      <row>32</row>
      <rowOff>19050</rowOff>
    </from>
    <to>
      <col>4</col>
      <colOff>261790</colOff>
      <row>38</row>
      <rowOff>57710</rowOff>
    </to>
    <pic>
      <nvPicPr>
        <cNvPr id="7" name="그림 6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514350" y="6972300"/>
          <a:ext cx="2033440" cy="115308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361951</colOff>
      <row>0</row>
      <rowOff>0</rowOff>
    </from>
    <to>
      <col>8</col>
      <colOff>723900</colOff>
      <row>3</row>
      <rowOff>136555</rowOff>
    </to>
    <pic>
      <nvPicPr>
        <cNvPr id="2" name="그림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457701" y="0"/>
          <a:ext cx="1219199" cy="8890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361951</colOff>
      <row>0</row>
      <rowOff>0</rowOff>
    </from>
    <to>
      <col>8</col>
      <colOff>723900</colOff>
      <row>3</row>
      <rowOff>136555</rowOff>
    </to>
    <pic>
      <nvPicPr>
        <cNvPr id="3" name="그림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457701" y="0"/>
          <a:ext cx="1219199" cy="8890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361951</colOff>
      <row>0</row>
      <rowOff>0</rowOff>
    </from>
    <to>
      <col>8</col>
      <colOff>723900</colOff>
      <row>3</row>
      <rowOff>136555</rowOff>
    </to>
    <pic>
      <nvPicPr>
        <cNvPr id="4" name="그림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4457701" y="0"/>
          <a:ext cx="1219199" cy="8890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609600</colOff>
      <row>33</row>
      <rowOff>0</rowOff>
    </from>
    <to>
      <col>4</col>
      <colOff>399484</colOff>
      <row>39</row>
      <rowOff>68269</rowOff>
    </to>
    <pic>
      <nvPicPr>
        <cNvPr id="5" name="그림 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609600" y="6791325"/>
          <a:ext cx="2047309" cy="1182694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361951</colOff>
      <row>0</row>
      <rowOff>0</rowOff>
    </from>
    <to>
      <col>8</col>
      <colOff>723900</colOff>
      <row>3</row>
      <rowOff>136555</rowOff>
    </to>
    <pic>
      <nvPicPr>
        <cNvPr id="2" name="그림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476751" y="0"/>
          <a:ext cx="1219199" cy="8890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485775</colOff>
      <row>36</row>
      <rowOff>9525</rowOff>
    </from>
    <to>
      <col>4</col>
      <colOff>242740</colOff>
      <row>42</row>
      <rowOff>95810</rowOff>
    </to>
    <pic>
      <nvPicPr>
        <cNvPr id="3" name="그림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85775" y="7277100"/>
          <a:ext cx="2033440" cy="1153085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361951</colOff>
      <row>0</row>
      <rowOff>0</rowOff>
    </from>
    <to>
      <col>8</col>
      <colOff>723900</colOff>
      <row>3</row>
      <rowOff>136555</rowOff>
    </to>
    <pic>
      <nvPicPr>
        <cNvPr id="2" name="그림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476751" y="0"/>
          <a:ext cx="1219199" cy="8890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361951</colOff>
      <row>0</row>
      <rowOff>0</rowOff>
    </from>
    <to>
      <col>8</col>
      <colOff>723900</colOff>
      <row>3</row>
      <rowOff>136555</rowOff>
    </to>
    <pic>
      <nvPicPr>
        <cNvPr id="3" name="그림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467226" y="0"/>
          <a:ext cx="1219199" cy="8890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361951</colOff>
      <row>0</row>
      <rowOff>0</rowOff>
    </from>
    <to>
      <col>8</col>
      <colOff>723900</colOff>
      <row>3</row>
      <rowOff>136555</rowOff>
    </to>
    <pic>
      <nvPicPr>
        <cNvPr id="4" name="그림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4467226" y="0"/>
          <a:ext cx="1219199" cy="8890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647701</colOff>
      <row>36</row>
      <rowOff>135753</rowOff>
    </from>
    <to>
      <col>4</col>
      <colOff>200026</colOff>
      <row>42</row>
      <rowOff>87318</rowOff>
    </to>
    <pic>
      <nvPicPr>
        <cNvPr id="5" name="그림 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647701" y="7165203"/>
          <a:ext cx="1828800" cy="105646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I42"/>
  <sheetViews>
    <sheetView zoomScaleNormal="100" workbookViewId="0">
      <selection activeCell="I8" sqref="I8:I11"/>
    </sheetView>
  </sheetViews>
  <sheetFormatPr baseColWidth="8" defaultRowHeight="17"/>
  <cols>
    <col width="2.58203125" customWidth="1" style="74" min="2" max="2"/>
    <col width="9.33203125" bestFit="1" customWidth="1" style="74" min="4" max="4"/>
    <col width="6.08203125" customWidth="1" style="74" min="5" max="5"/>
    <col width="8.5" customWidth="1" style="74" min="7" max="7"/>
    <col width="11.25" customWidth="1" style="74" min="8" max="8"/>
    <col width="15.58203125" customWidth="1" style="74" min="9" max="9"/>
  </cols>
  <sheetData>
    <row r="1" ht="25.5" customHeight="1" s="74">
      <c r="A1" s="11" t="inlineStr">
        <is>
          <t>HOTEL YEOUBI</t>
        </is>
      </c>
      <c r="B1" s="2" t="n"/>
    </row>
    <row r="2">
      <c r="A2" s="12" t="inlineStr">
        <is>
          <t>14, Saneup-ro 647 beon-gil, Nam-gu,</t>
        </is>
      </c>
      <c r="B2" s="2" t="n"/>
    </row>
    <row r="3">
      <c r="A3" s="12" t="inlineStr">
        <is>
          <t>ULSAN, Korea</t>
        </is>
      </c>
      <c r="B3" s="2" t="n"/>
    </row>
    <row r="4">
      <c r="A4" s="12" t="inlineStr">
        <is>
          <t>Tel : +82-52-267-7777</t>
        </is>
      </c>
      <c r="B4" s="2" t="n"/>
    </row>
    <row r="5" ht="21" customHeight="1" s="74">
      <c r="A5" s="12" t="inlineStr">
        <is>
          <t>Fax : +82-52-917-8255</t>
        </is>
      </c>
      <c r="B5" s="2" t="n"/>
      <c r="H5" s="53" t="inlineStr">
        <is>
          <t>HOTEL YEOUBI</t>
        </is>
      </c>
    </row>
    <row r="6"/>
    <row r="7">
      <c r="A7" s="10" t="inlineStr">
        <is>
          <t xml:space="preserve">Agent name : </t>
        </is>
      </c>
      <c r="B7" s="4" t="n"/>
      <c r="C7" s="45" t="inlineStr">
        <is>
          <t>Dongjin Shipping</t>
        </is>
      </c>
      <c r="D7" s="45" t="n"/>
      <c r="E7" s="45" t="n"/>
      <c r="F7" s="45" t="n"/>
      <c r="G7" s="21" t="n"/>
      <c r="H7" s="2" t="n"/>
      <c r="I7" s="2" t="n"/>
    </row>
    <row r="8">
      <c r="A8" s="45" t="inlineStr">
        <is>
          <t xml:space="preserve">Vessel name : </t>
        </is>
      </c>
      <c r="C8" s="45" t="inlineStr">
        <is>
          <t>d</t>
        </is>
      </c>
      <c r="G8" s="54" t="inlineStr">
        <is>
          <t>Total :</t>
        </is>
      </c>
      <c r="I8" s="27" t="inlineStr">
        <is>
          <t>1 Room</t>
        </is>
      </c>
    </row>
    <row r="9">
      <c r="A9" s="45" t="n"/>
      <c r="C9" s="45" t="n"/>
      <c r="G9" s="54" t="n"/>
      <c r="I9" s="27" t="n"/>
    </row>
    <row r="10">
      <c r="A10" s="55" t="inlineStr">
        <is>
          <t xml:space="preserve">Check in Date : </t>
        </is>
      </c>
      <c r="C10" s="75" t="n">
        <v>46102</v>
      </c>
      <c r="G10" s="56" t="inlineStr">
        <is>
          <t xml:space="preserve">Check out Date : </t>
        </is>
      </c>
      <c r="I10" s="75" t="n">
        <v>46104</v>
      </c>
    </row>
    <row r="11">
      <c r="A11" s="3" t="n"/>
      <c r="C11" s="59" t="inlineStr">
        <is>
          <t>10:00</t>
        </is>
      </c>
      <c r="I11" s="59" t="inlineStr">
        <is>
          <t>12:00</t>
        </is>
      </c>
    </row>
    <row r="12" ht="26" customHeight="1" s="74">
      <c r="A12" s="57" t="inlineStr">
        <is>
          <t>TOTAL INVOICE (HOTEL)</t>
        </is>
      </c>
    </row>
    <row r="13" ht="20.15" customHeight="1" s="74">
      <c r="A13" s="49" t="inlineStr">
        <is>
          <t>NO</t>
        </is>
      </c>
      <c r="B13" s="76" t="n"/>
      <c r="C13" s="49" t="inlineStr">
        <is>
          <t>CHECK OUT DATE</t>
        </is>
      </c>
      <c r="D13" s="76" t="n"/>
      <c r="E13" s="49" t="inlineStr">
        <is>
          <t>GUEST NAME</t>
        </is>
      </c>
      <c r="F13" s="77" t="n"/>
      <c r="G13" s="77" t="n"/>
      <c r="H13" s="76" t="n"/>
      <c r="I13" s="49" t="inlineStr">
        <is>
          <t>AMOUNT</t>
        </is>
      </c>
    </row>
    <row r="14" ht="18" customHeight="1" s="74">
      <c r="A14" s="49" t="n">
        <v>1</v>
      </c>
      <c r="B14" s="76" t="n"/>
      <c r="C14" s="78" t="n">
        <v>46104</v>
      </c>
      <c r="D14" s="76" t="n"/>
      <c r="E14" s="51" t="inlineStr">
        <is>
          <t>qwe</t>
        </is>
      </c>
      <c r="F14" s="77" t="n"/>
      <c r="G14" s="77" t="n"/>
      <c r="H14" s="76" t="n"/>
      <c r="I14" s="79" t="n">
        <v>200000</v>
      </c>
    </row>
    <row r="15" ht="16.5" customHeight="1" s="74">
      <c r="A15" s="43" t="n"/>
      <c r="B15" s="43" t="n"/>
      <c r="C15" s="80" t="n"/>
      <c r="D15" s="80" t="n"/>
      <c r="E15" s="48" t="n"/>
      <c r="F15" s="65" t="n"/>
      <c r="G15" s="65" t="n"/>
      <c r="H15" s="65" t="n"/>
      <c r="I15" s="81" t="n"/>
    </row>
    <row r="16" ht="25" customHeight="1" s="74">
      <c r="A16" s="43" t="n"/>
      <c r="C16" s="80" t="n"/>
      <c r="E16" s="48" t="n"/>
      <c r="I16" s="81" t="n"/>
    </row>
    <row r="17" ht="25" customHeight="1" s="74">
      <c r="A17" s="43" t="n"/>
      <c r="C17" s="80" t="n"/>
      <c r="E17" s="48" t="n"/>
      <c r="I17" s="81" t="n"/>
    </row>
    <row r="18" ht="16.5" customHeight="1" s="74">
      <c r="A18" s="43" t="n"/>
      <c r="C18" s="80" t="n"/>
      <c r="E18" s="48" t="n"/>
      <c r="I18" s="81" t="n"/>
    </row>
    <row r="19" ht="16" customHeight="1" s="74">
      <c r="A19" s="43" t="n"/>
      <c r="C19" s="80" t="n"/>
      <c r="E19" s="45" t="n"/>
      <c r="I19" s="81" t="n"/>
    </row>
    <row r="20" ht="16" customHeight="1" s="74">
      <c r="A20" s="43" t="n"/>
      <c r="C20" s="80" t="n"/>
      <c r="E20" s="45" t="n"/>
      <c r="I20" s="81" t="n"/>
    </row>
    <row r="21" ht="16" customHeight="1" s="74">
      <c r="A21" s="43" t="n"/>
      <c r="C21" s="80" t="n"/>
      <c r="E21" s="45" t="n"/>
      <c r="I21" s="81" t="n"/>
    </row>
    <row r="22" ht="16" customHeight="1" s="74">
      <c r="A22" s="43" t="n"/>
      <c r="C22" s="80" t="n"/>
      <c r="E22" s="45" t="n"/>
      <c r="I22" s="81" t="n"/>
    </row>
    <row r="23" ht="16" customHeight="1" s="74">
      <c r="A23" s="43" t="n"/>
      <c r="C23" s="80" t="n"/>
      <c r="E23" s="45" t="n"/>
      <c r="I23" s="81" t="n"/>
    </row>
    <row r="24" ht="20.15" customHeight="1" s="74">
      <c r="A24" s="43" t="n"/>
      <c r="C24" s="80" t="n"/>
      <c r="E24" s="45" t="n"/>
      <c r="I24" s="81" t="n"/>
    </row>
    <row r="25" ht="16.5" customHeight="1" s="74">
      <c r="A25" s="43" t="n"/>
      <c r="B25" s="43" t="n"/>
      <c r="C25" s="80" t="n"/>
      <c r="D25" s="80" t="n"/>
      <c r="E25" s="45" t="n"/>
      <c r="F25" s="45" t="n"/>
      <c r="G25" s="45" t="n"/>
      <c r="H25" s="45" t="n"/>
      <c r="I25" s="81" t="n"/>
    </row>
    <row r="26" ht="16.5" customHeight="1" s="74">
      <c r="A26" s="43" t="n"/>
      <c r="B26" s="43" t="n"/>
      <c r="C26" s="80" t="n"/>
      <c r="D26" s="80" t="n"/>
      <c r="E26" s="45" t="n"/>
      <c r="F26" s="45" t="n"/>
      <c r="G26" s="45" t="n"/>
      <c r="H26" s="45" t="n"/>
      <c r="I26" s="81" t="n"/>
    </row>
    <row r="27" ht="20.15" customHeight="1" s="74">
      <c r="A27" s="43" t="n"/>
      <c r="C27" s="80" t="n"/>
      <c r="E27" s="45" t="n"/>
      <c r="I27" s="81" t="n"/>
    </row>
    <row r="28" ht="20.15" customHeight="1" s="74">
      <c r="A28" s="43" t="n"/>
      <c r="B28" s="43" t="n"/>
      <c r="C28" s="80" t="n"/>
      <c r="D28" s="80" t="n"/>
      <c r="E28" s="45" t="n"/>
      <c r="F28" s="45" t="n"/>
      <c r="G28" s="45" t="n"/>
      <c r="H28" s="45" t="n"/>
      <c r="I28" s="81" t="n"/>
    </row>
    <row r="29" ht="13.5" customHeight="1" s="74">
      <c r="A29" s="82" t="n"/>
      <c r="B29" s="23" t="n"/>
      <c r="C29" s="23" t="n"/>
      <c r="D29" s="23" t="n"/>
      <c r="E29" s="61" t="n"/>
      <c r="F29" s="61" t="n"/>
      <c r="G29" s="61" t="n"/>
      <c r="H29" s="61" t="n"/>
      <c r="I29" s="81" t="n"/>
    </row>
    <row r="30" ht="13.5" customHeight="1" s="74">
      <c r="A30" s="16" t="n"/>
      <c r="B30" s="16" t="n"/>
      <c r="C30" s="16" t="n"/>
      <c r="D30" s="16" t="n"/>
      <c r="E30" s="61" t="n"/>
      <c r="F30" s="61" t="n"/>
      <c r="G30" s="61" t="n"/>
      <c r="H30" s="61" t="n"/>
      <c r="I30" s="81" t="n"/>
    </row>
    <row r="31" ht="13.5" customHeight="1" s="74">
      <c r="A31" s="17" t="n"/>
      <c r="B31" s="17" t="n"/>
      <c r="C31" s="17" t="n"/>
      <c r="D31" s="17" t="n"/>
      <c r="E31" s="61" t="n"/>
      <c r="F31" s="61" t="n"/>
      <c r="G31" s="61" t="n"/>
      <c r="H31" s="61" t="n"/>
      <c r="I31" s="81" t="n"/>
    </row>
    <row r="32" ht="13.5" customHeight="1" s="74">
      <c r="A32" s="17" t="n"/>
      <c r="B32" s="17" t="n"/>
      <c r="C32" s="17" t="n"/>
      <c r="D32" s="17" t="n"/>
      <c r="E32" s="61" t="n"/>
      <c r="F32" s="61" t="n"/>
      <c r="G32" s="61" t="n"/>
      <c r="H32" s="61" t="n"/>
      <c r="I32" s="81" t="n"/>
    </row>
    <row r="33" ht="13.5" customHeight="1" s="74">
      <c r="A33" s="60" t="n"/>
      <c r="C33" s="80" t="n"/>
      <c r="E33" s="60" t="n"/>
      <c r="I33" s="81" t="n"/>
    </row>
    <row r="34" ht="13.5" customHeight="1" s="74">
      <c r="A34" s="60" t="n"/>
      <c r="C34" s="80" t="n"/>
      <c r="E34" s="43" t="n"/>
    </row>
    <row r="35" ht="13.5" customHeight="1" s="74" thickBot="1">
      <c r="A35" s="60" t="n"/>
      <c r="C35" s="43" t="n"/>
      <c r="F35" s="47" t="inlineStr">
        <is>
          <t xml:space="preserve">GRAND TOTAL </t>
        </is>
      </c>
      <c r="G35" s="83" t="n"/>
      <c r="H35" s="19" t="inlineStr">
        <is>
          <t>KRW</t>
        </is>
      </c>
      <c r="I35" s="84">
        <f>SUM(I14:I14)</f>
        <v/>
      </c>
    </row>
    <row r="36" ht="13.5" customHeight="1" s="74">
      <c r="C36" s="43" t="n"/>
      <c r="F36" s="43" t="n"/>
      <c r="H36" s="60" t="n"/>
    </row>
    <row r="37" ht="17.5" customHeight="1" s="74" thickBot="1">
      <c r="C37" s="43" t="n"/>
      <c r="F37" s="46" t="inlineStr">
        <is>
          <t>BALANCE DUE</t>
        </is>
      </c>
      <c r="G37" s="83" t="n"/>
      <c r="H37" s="5" t="inlineStr">
        <is>
          <t>KRW</t>
        </is>
      </c>
      <c r="I37" s="6" t="n"/>
    </row>
    <row r="38">
      <c r="C38" s="43" t="n"/>
    </row>
    <row r="39">
      <c r="A39" s="9" t="inlineStr">
        <is>
          <t>I agree that my liability for this bill is not waived and agree to hold personal liability in this case that the</t>
        </is>
      </c>
    </row>
    <row r="40">
      <c r="A40" s="9" t="inlineStr">
        <is>
          <t>indicated person, company or association fails to pay for part or the whole amount of the charges.</t>
        </is>
      </c>
    </row>
    <row r="41">
      <c r="A41" s="9" t="inlineStr">
        <is>
          <t>본인은 본 청구 금액에 대해 지급 의무를 거부하지 않으며, 청구 금액의 전액 또는 일부를 지정인,</t>
        </is>
      </c>
    </row>
    <row r="42">
      <c r="A42" s="9" t="inlineStr">
        <is>
          <t>지정회사, 지정단체에서 지급하지 않을 경우 본인이 책임질 것에 동의합니다.</t>
        </is>
      </c>
    </row>
  </sheetData>
  <mergeCells count="59">
    <mergeCell ref="C34:D34"/>
    <mergeCell ref="A24:B24"/>
    <mergeCell ref="C24:D24"/>
    <mergeCell ref="C8:F8"/>
    <mergeCell ref="C33:D33"/>
    <mergeCell ref="E16:H16"/>
    <mergeCell ref="C14:D14"/>
    <mergeCell ref="G8:H8"/>
    <mergeCell ref="A12:I12"/>
    <mergeCell ref="C35:D35"/>
    <mergeCell ref="E22:H22"/>
    <mergeCell ref="C20:D20"/>
    <mergeCell ref="A16:B16"/>
    <mergeCell ref="E18:H18"/>
    <mergeCell ref="C16:D16"/>
    <mergeCell ref="G10:H10"/>
    <mergeCell ref="E21:H21"/>
    <mergeCell ref="F36:G36"/>
    <mergeCell ref="C22:D22"/>
    <mergeCell ref="A18:B18"/>
    <mergeCell ref="A27:B27"/>
    <mergeCell ref="E33:H33"/>
    <mergeCell ref="E24:H24"/>
    <mergeCell ref="F35:G35"/>
    <mergeCell ref="E14:H14"/>
    <mergeCell ref="A21:B21"/>
    <mergeCell ref="E23:H23"/>
    <mergeCell ref="E17:H17"/>
    <mergeCell ref="C21:D21"/>
    <mergeCell ref="C27:D27"/>
    <mergeCell ref="E20:H20"/>
    <mergeCell ref="C36:D36"/>
    <mergeCell ref="A14:B14"/>
    <mergeCell ref="A23:B23"/>
    <mergeCell ref="E19:H19"/>
    <mergeCell ref="A17:B17"/>
    <mergeCell ref="C23:D23"/>
    <mergeCell ref="C17:D17"/>
    <mergeCell ref="C10:F10"/>
    <mergeCell ref="A22:B22"/>
    <mergeCell ref="A8:B8"/>
    <mergeCell ref="E13:H13"/>
    <mergeCell ref="A20:B20"/>
    <mergeCell ref="C9:F9"/>
    <mergeCell ref="F37:G37"/>
    <mergeCell ref="C38:D38"/>
    <mergeCell ref="E34:H34"/>
    <mergeCell ref="A19:B19"/>
    <mergeCell ref="C19:D19"/>
    <mergeCell ref="A10:B10"/>
    <mergeCell ref="C37:D37"/>
    <mergeCell ref="A13:B13"/>
    <mergeCell ref="H5:I5"/>
    <mergeCell ref="C13:D13"/>
    <mergeCell ref="C11:F11"/>
    <mergeCell ref="C18:D18"/>
    <mergeCell ref="A9:B9"/>
    <mergeCell ref="G9:H9"/>
    <mergeCell ref="E27:H27"/>
  </mergeCells>
  <printOptions horizontalCentered="1" verticalCentered="0" gridLines="0"/>
  <pageMargins left="0.2" right="0.2" top="0.25" bottom="0.25" header="0.1" footer="0.1"/>
  <pageSetup orientation="portrait" paperSize="9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I43"/>
  <sheetViews>
    <sheetView tabSelected="1" topLeftCell="A3" zoomScaleNormal="100" workbookViewId="0">
      <selection activeCell="I8" sqref="I8"/>
    </sheetView>
  </sheetViews>
  <sheetFormatPr baseColWidth="8" defaultRowHeight="17"/>
  <cols>
    <col width="2.58203125" customWidth="1" style="74" min="2" max="2"/>
    <col width="6.08203125" customWidth="1" style="74" min="5" max="5"/>
    <col width="11.25" customWidth="1" style="74" min="8" max="8"/>
    <col width="15.58203125" customWidth="1" style="74" min="9" max="9"/>
  </cols>
  <sheetData>
    <row r="1" ht="25.5" customHeight="1" s="74">
      <c r="A1" s="11" t="inlineStr">
        <is>
          <t>HOTEL RESTAURANT</t>
        </is>
      </c>
      <c r="B1" s="2" t="n"/>
    </row>
    <row r="2">
      <c r="A2" s="12" t="inlineStr">
        <is>
          <t>14, Saneup-ro 647 beon-gil, Nam-gu,</t>
        </is>
      </c>
      <c r="B2" s="2" t="n"/>
    </row>
    <row r="3">
      <c r="A3" s="12" t="inlineStr">
        <is>
          <t>ULSAN, Korea</t>
        </is>
      </c>
      <c r="B3" s="2" t="n"/>
    </row>
    <row r="4">
      <c r="A4" s="12" t="inlineStr">
        <is>
          <t>Tel : +82-52-267-7777</t>
        </is>
      </c>
      <c r="B4" s="2" t="n"/>
    </row>
    <row r="5" ht="21" customHeight="1" s="74">
      <c r="A5" s="12" t="inlineStr">
        <is>
          <t>Fax : +82-52-917-8255</t>
        </is>
      </c>
      <c r="B5" s="2" t="n"/>
      <c r="H5" s="53" t="inlineStr">
        <is>
          <t>HOTEL YEOUBI</t>
        </is>
      </c>
    </row>
    <row r="6">
      <c r="A6" s="45" t="n"/>
      <c r="C6" s="45" t="n"/>
      <c r="G6" s="21" t="n"/>
      <c r="H6" s="2" t="n"/>
      <c r="I6" s="2" t="n"/>
    </row>
    <row r="7">
      <c r="A7" s="10" t="inlineStr">
        <is>
          <t xml:space="preserve">Agent name : </t>
        </is>
      </c>
      <c r="B7" s="4" t="n"/>
      <c r="C7" s="45" t="inlineStr">
        <is>
          <t>Dongjin Shipping</t>
        </is>
      </c>
      <c r="D7" s="45" t="n"/>
      <c r="E7" s="45" t="n"/>
      <c r="F7" s="45" t="n"/>
      <c r="G7" s="21" t="n"/>
      <c r="H7" s="2" t="n"/>
      <c r="I7" s="2" t="n"/>
    </row>
    <row r="8">
      <c r="A8" s="45" t="inlineStr">
        <is>
          <t xml:space="preserve">Vessel name : </t>
        </is>
      </c>
      <c r="C8" s="45" t="inlineStr">
        <is>
          <t>d</t>
        </is>
      </c>
      <c r="G8" s="54" t="inlineStr">
        <is>
          <t>Total :</t>
        </is>
      </c>
      <c r="I8" s="27" t="inlineStr">
        <is>
          <t>1 Person</t>
        </is>
      </c>
    </row>
    <row r="9">
      <c r="A9" s="45" t="n"/>
      <c r="C9" s="45" t="n"/>
      <c r="G9" s="54" t="n"/>
      <c r="I9" s="28" t="n"/>
    </row>
    <row r="10">
      <c r="A10" s="55" t="inlineStr">
        <is>
          <t xml:space="preserve">Check in Date : </t>
        </is>
      </c>
      <c r="C10" s="75" t="n">
        <v>46102</v>
      </c>
      <c r="G10" s="56" t="inlineStr">
        <is>
          <t xml:space="preserve">Check out Date : </t>
        </is>
      </c>
      <c r="I10" s="75" t="n">
        <v>46104</v>
      </c>
    </row>
    <row r="11">
      <c r="A11" s="3" t="n"/>
      <c r="C11" s="59" t="inlineStr">
        <is>
          <t>10:00</t>
        </is>
      </c>
      <c r="I11" s="59" t="inlineStr">
        <is>
          <t>12:00</t>
        </is>
      </c>
    </row>
    <row r="12" ht="26" customHeight="1" s="74">
      <c r="A12" s="57" t="inlineStr">
        <is>
          <t>TOTAL INVOICE (RESTAURANT)</t>
        </is>
      </c>
    </row>
    <row r="13" ht="20.15" customHeight="1" s="74">
      <c r="A13" s="49" t="inlineStr">
        <is>
          <t>NO</t>
        </is>
      </c>
      <c r="B13" s="76" t="n"/>
      <c r="C13" s="49" t="inlineStr">
        <is>
          <t>CHECK OUT DATE</t>
        </is>
      </c>
      <c r="D13" s="76" t="n"/>
      <c r="E13" s="49" t="inlineStr">
        <is>
          <t>GUEST NAME</t>
        </is>
      </c>
      <c r="F13" s="77" t="n"/>
      <c r="G13" s="77" t="n"/>
      <c r="H13" s="76" t="n"/>
      <c r="I13" s="49" t="inlineStr">
        <is>
          <t>AMOUNT</t>
        </is>
      </c>
    </row>
    <row r="14" ht="18" customHeight="1" s="74">
      <c r="A14" s="49" t="n">
        <v>1</v>
      </c>
      <c r="B14" s="76" t="n"/>
      <c r="C14" s="78" t="n">
        <v>46104</v>
      </c>
      <c r="D14" s="76" t="n"/>
      <c r="E14" s="51" t="inlineStr">
        <is>
          <t>qwe</t>
        </is>
      </c>
      <c r="F14" s="77" t="n"/>
      <c r="G14" s="77" t="n"/>
      <c r="H14" s="76" t="n"/>
      <c r="I14" s="79" t="n">
        <v>150000</v>
      </c>
    </row>
    <row r="15" ht="16.5" customHeight="1" s="74">
      <c r="A15" s="43" t="n"/>
      <c r="B15" s="43" t="n"/>
      <c r="C15" s="80" t="n"/>
      <c r="D15" s="80" t="n"/>
      <c r="E15" s="48" t="n"/>
      <c r="F15" s="65" t="n"/>
      <c r="G15" s="65" t="n"/>
      <c r="H15" s="65" t="n"/>
      <c r="I15" s="81" t="n"/>
    </row>
    <row r="16" ht="25" customHeight="1" s="74">
      <c r="A16" s="43" t="n"/>
      <c r="C16" s="80" t="n"/>
      <c r="E16" s="48" t="n"/>
      <c r="I16" s="81" t="n"/>
    </row>
    <row r="17" ht="25" customHeight="1" s="74">
      <c r="A17" s="43" t="n"/>
      <c r="C17" s="80" t="n"/>
      <c r="E17" s="48" t="n"/>
      <c r="I17" s="81" t="n"/>
    </row>
    <row r="18" ht="16.5" customHeight="1" s="74">
      <c r="A18" s="43" t="n"/>
      <c r="C18" s="80" t="n"/>
      <c r="E18" s="48" t="n"/>
      <c r="I18" s="81" t="n"/>
    </row>
    <row r="19" ht="16.5" customHeight="1" s="74">
      <c r="A19" s="43" t="n"/>
      <c r="B19" s="43" t="n"/>
      <c r="C19" s="80" t="n"/>
      <c r="D19" s="80" t="n"/>
      <c r="E19" s="48" t="n"/>
      <c r="F19" s="48" t="n"/>
      <c r="G19" s="48" t="n"/>
      <c r="H19" s="48" t="n"/>
      <c r="I19" s="81" t="n"/>
    </row>
    <row r="20" ht="16" customHeight="1" s="74">
      <c r="A20" s="43" t="n"/>
      <c r="C20" s="80" t="n"/>
      <c r="E20" s="45" t="n"/>
      <c r="I20" s="81" t="n"/>
    </row>
    <row r="21" ht="16" customHeight="1" s="74">
      <c r="A21" s="43" t="n"/>
      <c r="C21" s="80" t="n"/>
      <c r="E21" s="45" t="n"/>
      <c r="I21" s="81" t="n"/>
    </row>
    <row r="22" ht="16" customHeight="1" s="74">
      <c r="A22" s="43" t="n"/>
      <c r="C22" s="80" t="n"/>
      <c r="E22" s="45" t="n"/>
      <c r="I22" s="81" t="n"/>
    </row>
    <row r="23" ht="16" customHeight="1" s="74">
      <c r="A23" s="43" t="n"/>
      <c r="C23" s="80" t="n"/>
      <c r="E23" s="45" t="n"/>
      <c r="I23" s="81" t="n"/>
    </row>
    <row r="24" ht="16" customHeight="1" s="74">
      <c r="A24" s="43" t="n"/>
      <c r="C24" s="80" t="n"/>
      <c r="E24" s="45" t="n"/>
      <c r="I24" s="81" t="n"/>
    </row>
    <row r="25" ht="16" customHeight="1" s="74">
      <c r="A25" s="43" t="n"/>
      <c r="C25" s="80" t="n"/>
      <c r="E25" s="45" t="n"/>
      <c r="I25" s="81" t="n"/>
    </row>
    <row r="26" ht="16" customHeight="1" s="74">
      <c r="A26" s="43" t="n"/>
      <c r="B26" s="43" t="n"/>
      <c r="C26" s="80" t="n"/>
      <c r="D26" s="80" t="n"/>
      <c r="E26" s="45" t="n"/>
      <c r="F26" s="45" t="n"/>
      <c r="G26" s="45" t="n"/>
      <c r="H26" s="45" t="n"/>
      <c r="I26" s="81" t="n"/>
    </row>
    <row r="27" ht="16" customHeight="1" s="74">
      <c r="A27" s="43" t="n"/>
      <c r="B27" s="43" t="n"/>
      <c r="C27" s="80" t="n"/>
      <c r="D27" s="80" t="n"/>
      <c r="E27" s="45" t="n"/>
      <c r="F27" s="45" t="n"/>
      <c r="G27" s="45" t="n"/>
      <c r="H27" s="45" t="n"/>
      <c r="I27" s="81" t="n"/>
    </row>
    <row r="28" ht="16" customHeight="1" s="74">
      <c r="A28" s="43" t="n"/>
      <c r="B28" s="43" t="n"/>
      <c r="C28" s="80" t="n"/>
      <c r="D28" s="80" t="n"/>
      <c r="E28" s="45" t="n"/>
      <c r="F28" s="45" t="n"/>
      <c r="G28" s="45" t="n"/>
      <c r="H28" s="45" t="n"/>
      <c r="I28" s="81" t="n"/>
    </row>
    <row r="29" ht="16" customHeight="1" s="74">
      <c r="A29" s="43" t="n"/>
      <c r="B29" s="43" t="n"/>
      <c r="C29" s="80" t="n"/>
      <c r="D29" s="80" t="n"/>
      <c r="E29" s="45" t="n"/>
      <c r="F29" s="45" t="n"/>
      <c r="G29" s="45" t="n"/>
      <c r="H29" s="45" t="n"/>
      <c r="I29" s="81" t="n"/>
    </row>
    <row r="30" ht="13.5" customHeight="1" s="74">
      <c r="A30" s="82" t="n"/>
      <c r="B30" s="23" t="n"/>
      <c r="C30" s="23" t="n"/>
      <c r="D30" s="23" t="n"/>
      <c r="E30" s="61" t="n"/>
      <c r="F30" s="61" t="n"/>
      <c r="G30" s="61" t="n"/>
      <c r="H30" s="61" t="n"/>
      <c r="I30" s="81" t="n"/>
    </row>
    <row r="31" ht="13.5" customHeight="1" s="74">
      <c r="A31" s="16" t="n"/>
      <c r="B31" s="16" t="n"/>
      <c r="C31" s="16" t="n"/>
      <c r="D31" s="16" t="n"/>
      <c r="E31" s="61" t="n"/>
      <c r="F31" s="61" t="n"/>
      <c r="G31" s="61" t="n"/>
      <c r="H31" s="61" t="n"/>
      <c r="I31" s="81" t="n"/>
    </row>
    <row r="32" ht="13.5" customHeight="1" s="74">
      <c r="A32" s="17" t="n"/>
      <c r="B32" s="17" t="n"/>
      <c r="C32" s="17" t="n"/>
      <c r="D32" s="17" t="n"/>
      <c r="E32" s="61" t="n"/>
      <c r="F32" s="61" t="n"/>
      <c r="G32" s="61" t="n"/>
      <c r="H32" s="61" t="n"/>
      <c r="I32" s="81" t="n"/>
    </row>
    <row r="33" ht="13.5" customHeight="1" s="74">
      <c r="A33" s="17" t="n"/>
      <c r="B33" s="17" t="n"/>
      <c r="C33" s="17" t="n"/>
      <c r="D33" s="17" t="n"/>
      <c r="E33" s="61" t="n"/>
      <c r="F33" s="61" t="n"/>
      <c r="G33" s="61" t="n"/>
      <c r="H33" s="61" t="n"/>
      <c r="I33" s="81" t="n"/>
    </row>
    <row r="34" ht="13.5" customHeight="1" s="74">
      <c r="A34" s="17" t="n"/>
      <c r="B34" s="17" t="n"/>
      <c r="C34" s="17" t="n"/>
      <c r="D34" s="17" t="n"/>
      <c r="E34" s="61" t="n"/>
      <c r="F34" s="61" t="n"/>
      <c r="G34" s="61" t="n"/>
      <c r="H34" s="61" t="n"/>
      <c r="I34" s="81" t="n"/>
    </row>
    <row r="35" ht="13.5" customHeight="1" s="74">
      <c r="A35" s="17" t="n"/>
      <c r="B35" s="17" t="n"/>
      <c r="C35" s="17" t="n"/>
      <c r="D35" s="17" t="n"/>
      <c r="E35" s="61" t="n"/>
      <c r="F35" s="61" t="n"/>
      <c r="G35" s="61" t="n"/>
      <c r="H35" s="61" t="n"/>
      <c r="I35" s="81" t="n"/>
    </row>
    <row r="36" ht="13.5" customHeight="1" s="74" thickBot="1">
      <c r="A36" s="60" t="n"/>
      <c r="C36" s="43" t="n"/>
      <c r="F36" s="47" t="inlineStr">
        <is>
          <t xml:space="preserve">GRAND TOTAL </t>
        </is>
      </c>
      <c r="G36" s="83" t="n"/>
      <c r="H36" s="19" t="inlineStr">
        <is>
          <t>KRW</t>
        </is>
      </c>
      <c r="I36" s="84">
        <f>SUM(I14:I14)</f>
        <v/>
      </c>
    </row>
    <row r="37" ht="13.5" customHeight="1" s="74">
      <c r="C37" s="43" t="n"/>
      <c r="F37" s="43" t="n"/>
      <c r="H37" s="60" t="n"/>
    </row>
    <row r="38" ht="17.5" customHeight="1" s="74" thickBot="1">
      <c r="C38" s="43" t="n"/>
      <c r="F38" s="46" t="inlineStr">
        <is>
          <t>BALANCE DUE</t>
        </is>
      </c>
      <c r="G38" s="83" t="n"/>
      <c r="H38" s="5" t="inlineStr">
        <is>
          <t>KRW</t>
        </is>
      </c>
      <c r="I38" s="6" t="n"/>
    </row>
    <row r="39">
      <c r="C39" s="43" t="n"/>
    </row>
    <row r="40">
      <c r="A40" s="9" t="inlineStr">
        <is>
          <t>I agree that my liability for this bill is not waived and agree to hold personal liability in this case that the</t>
        </is>
      </c>
    </row>
    <row r="41">
      <c r="A41" s="9" t="inlineStr">
        <is>
          <t>indicated person, company or association fails to pay for part or the whole amount of the charges.</t>
        </is>
      </c>
    </row>
    <row r="42">
      <c r="A42" s="9" t="inlineStr">
        <is>
          <t>본인은 본 청구 금액에 대해 지급 의무를 거부하지 않으며, 청구 금액의 전액 또는 일부를 지정인,</t>
        </is>
      </c>
    </row>
    <row r="43">
      <c r="A43" s="9" t="inlineStr">
        <is>
          <t>지정회사, 지정단체에서 지급하지 않을 경우 본인이 책임질 것에 동의합니다.</t>
        </is>
      </c>
    </row>
  </sheetData>
  <mergeCells count="54">
    <mergeCell ref="A24:B24"/>
    <mergeCell ref="C24:D24"/>
    <mergeCell ref="C8:F8"/>
    <mergeCell ref="E16:H16"/>
    <mergeCell ref="C14:D14"/>
    <mergeCell ref="E25:H25"/>
    <mergeCell ref="G8:H8"/>
    <mergeCell ref="A12:I12"/>
    <mergeCell ref="A6:B6"/>
    <mergeCell ref="E22:H22"/>
    <mergeCell ref="C20:D20"/>
    <mergeCell ref="A16:B16"/>
    <mergeCell ref="E18:H18"/>
    <mergeCell ref="C16:D16"/>
    <mergeCell ref="A25:B25"/>
    <mergeCell ref="C25:D25"/>
    <mergeCell ref="G10:H10"/>
    <mergeCell ref="C6:F6"/>
    <mergeCell ref="E21:H21"/>
    <mergeCell ref="F36:G36"/>
    <mergeCell ref="C22:D22"/>
    <mergeCell ref="A18:B18"/>
    <mergeCell ref="E24:H24"/>
    <mergeCell ref="E14:H14"/>
    <mergeCell ref="A21:B21"/>
    <mergeCell ref="E17:H17"/>
    <mergeCell ref="E23:H23"/>
    <mergeCell ref="C21:D21"/>
    <mergeCell ref="F38:G38"/>
    <mergeCell ref="E20:H20"/>
    <mergeCell ref="C36:D36"/>
    <mergeCell ref="A14:B14"/>
    <mergeCell ref="A17:B17"/>
    <mergeCell ref="C10:F10"/>
    <mergeCell ref="A23:B23"/>
    <mergeCell ref="C17:D17"/>
    <mergeCell ref="A8:B8"/>
    <mergeCell ref="C39:D39"/>
    <mergeCell ref="C23:D23"/>
    <mergeCell ref="A22:B22"/>
    <mergeCell ref="E13:H13"/>
    <mergeCell ref="C9:F9"/>
    <mergeCell ref="A20:B20"/>
    <mergeCell ref="F37:G37"/>
    <mergeCell ref="C38:D38"/>
    <mergeCell ref="A10:B10"/>
    <mergeCell ref="C37:D37"/>
    <mergeCell ref="A13:B13"/>
    <mergeCell ref="H5:I5"/>
    <mergeCell ref="C13:D13"/>
    <mergeCell ref="C11:F11"/>
    <mergeCell ref="C18:D18"/>
    <mergeCell ref="A9:B9"/>
    <mergeCell ref="G9:H9"/>
  </mergeCells>
  <printOptions horizontalCentered="1" verticalCentered="0" gridLines="0"/>
  <pageMargins left="0.2" right="0.2" top="0.25" bottom="0.25" header="0.1" footer="0.1"/>
  <pageSetup orientation="portrait" paperSize="9" fitToHeight="1" fitToWidth="1" horizontalDpi="4294967293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L46"/>
  <sheetViews>
    <sheetView workbookViewId="0">
      <selection activeCell="A1" sqref="A1"/>
    </sheetView>
  </sheetViews>
  <sheetFormatPr baseColWidth="8" defaultRowHeight="17"/>
  <cols>
    <col width="9.08203125" bestFit="1" customWidth="1" style="74" min="1" max="1"/>
    <col width="2.58203125" customWidth="1" style="74" min="2" max="2"/>
    <col width="9.08203125" bestFit="1" customWidth="1" style="74" min="3" max="3"/>
    <col width="6.08203125" customWidth="1" style="74" min="5" max="5"/>
    <col width="11.25" customWidth="1" style="74" min="8" max="8"/>
    <col width="15.33203125" customWidth="1" style="74" min="9" max="9"/>
    <col width="10.75" bestFit="1" customWidth="1" style="74" min="10" max="10"/>
    <col width="9.75" bestFit="1" customWidth="1" style="74" min="11" max="11"/>
    <col width="10.75" bestFit="1" customWidth="1" style="74" min="12" max="12"/>
  </cols>
  <sheetData>
    <row r="1" ht="25.5" customHeight="1" s="74">
      <c r="A1" s="11" t="inlineStr">
        <is>
          <t>HOTEL YEOUBI</t>
        </is>
      </c>
      <c r="B1" s="2" t="n"/>
    </row>
    <row r="2">
      <c r="A2" s="12" t="inlineStr">
        <is>
          <t>14, Saneup-ro 647 beon-gil, Nam-gu,</t>
        </is>
      </c>
      <c r="B2" s="2" t="n"/>
    </row>
    <row r="3">
      <c r="A3" s="12" t="inlineStr">
        <is>
          <t>ULSAN, Korea</t>
        </is>
      </c>
      <c r="B3" s="2" t="n"/>
    </row>
    <row r="4">
      <c r="A4" s="12" t="inlineStr">
        <is>
          <t>Tel : +82-52-267-7777</t>
        </is>
      </c>
      <c r="B4" s="2" t="n"/>
    </row>
    <row r="5" ht="21" customHeight="1" s="74">
      <c r="A5" s="12" t="inlineStr">
        <is>
          <t>Fax : +82-52-917-8255</t>
        </is>
      </c>
      <c r="B5" s="2" t="n"/>
      <c r="H5" s="53" t="inlineStr">
        <is>
          <t>HOTEL YEOUBI</t>
        </is>
      </c>
    </row>
    <row r="6"/>
    <row r="7">
      <c r="A7" s="10" t="inlineStr">
        <is>
          <t xml:space="preserve">Agent name : </t>
        </is>
      </c>
      <c r="B7" s="4" t="n"/>
      <c r="C7" s="45" t="inlineStr">
        <is>
          <t>Dongjin Shipping</t>
        </is>
      </c>
      <c r="D7" s="45" t="n"/>
      <c r="E7" s="45" t="n"/>
      <c r="F7" s="45" t="n"/>
      <c r="G7" s="21" t="n"/>
      <c r="H7" s="2" t="n"/>
      <c r="I7" s="2" t="n"/>
    </row>
    <row r="8">
      <c r="A8" s="45" t="inlineStr">
        <is>
          <t xml:space="preserve">Vessel name : </t>
        </is>
      </c>
      <c r="C8" s="45" t="inlineStr">
        <is>
          <t>d</t>
        </is>
      </c>
      <c r="G8" s="54" t="inlineStr">
        <is>
          <t>Room  No :</t>
        </is>
      </c>
      <c r="I8" s="85" t="inlineStr">
        <is>
          <t>d</t>
        </is>
      </c>
    </row>
    <row r="9" ht="18" customHeight="1" s="74">
      <c r="A9" s="45" t="inlineStr">
        <is>
          <t>Guest name :</t>
        </is>
      </c>
      <c r="C9" s="86" t="inlineStr">
        <is>
          <t>qwe</t>
        </is>
      </c>
      <c r="G9" s="54" t="inlineStr">
        <is>
          <t>Nationality :</t>
        </is>
      </c>
      <c r="I9" s="87" t="inlineStr">
        <is>
          <t>phl</t>
        </is>
      </c>
      <c r="J9" s="31" t="n"/>
    </row>
    <row r="10">
      <c r="A10" s="55" t="inlineStr">
        <is>
          <t xml:space="preserve">Check in Date : </t>
        </is>
      </c>
      <c r="C10" s="75" t="n">
        <v>46102</v>
      </c>
      <c r="G10" s="56" t="inlineStr">
        <is>
          <t xml:space="preserve">Check out Date : </t>
        </is>
      </c>
      <c r="I10" s="75" t="n">
        <v>46104</v>
      </c>
    </row>
    <row r="11">
      <c r="A11" s="3" t="n"/>
      <c r="C11" s="59" t="inlineStr">
        <is>
          <t>10:00</t>
        </is>
      </c>
      <c r="I11" s="59" t="inlineStr">
        <is>
          <t>12:00</t>
        </is>
      </c>
    </row>
    <row r="12" ht="26" customHeight="1" s="74">
      <c r="A12" s="57" t="inlineStr">
        <is>
          <t>INVOICE</t>
        </is>
      </c>
    </row>
    <row r="13">
      <c r="A13" s="64" t="inlineStr">
        <is>
          <t>NO</t>
        </is>
      </c>
      <c r="B13" s="64" t="n"/>
      <c r="C13" s="64" t="inlineStr">
        <is>
          <t>DATE</t>
        </is>
      </c>
      <c r="D13" s="77" t="n"/>
      <c r="E13" s="64" t="inlineStr">
        <is>
          <t>DESCRIPTION</t>
        </is>
      </c>
      <c r="F13" s="77" t="n"/>
      <c r="G13" s="77" t="n"/>
      <c r="H13" s="77" t="n"/>
      <c r="I13" s="64" t="inlineStr">
        <is>
          <t>AMOUNT</t>
        </is>
      </c>
    </row>
    <row r="14" ht="15" customHeight="1" s="74">
      <c r="A14" s="43" t="n">
        <v>1</v>
      </c>
      <c r="C14" s="80" t="n">
        <v>46102</v>
      </c>
      <c r="E14" s="61" t="inlineStr">
        <is>
          <t>Accommodation Charge(Breakfast included)</t>
        </is>
      </c>
      <c r="I14" s="88" t="n">
        <v>100000</v>
      </c>
    </row>
    <row r="15" ht="15" customHeight="1" s="74">
      <c r="A15" s="43" t="n">
        <v>2</v>
      </c>
      <c r="C15" s="80" t="n">
        <v>46103</v>
      </c>
      <c r="E15" s="61" t="inlineStr">
        <is>
          <t>Accommodation Charge(Breakfast included)</t>
        </is>
      </c>
      <c r="I15" s="88" t="n">
        <v>100000</v>
      </c>
    </row>
    <row r="16" ht="15" customHeight="1" s="74">
      <c r="A16" s="43" t="n"/>
      <c r="C16" s="80" t="n"/>
      <c r="E16" s="61" t="n"/>
      <c r="I16" s="81" t="n"/>
    </row>
    <row r="17" ht="15" customHeight="1" s="74">
      <c r="A17" s="43" t="n"/>
      <c r="C17" s="80" t="n"/>
      <c r="E17" s="61" t="n"/>
      <c r="I17" s="81" t="n"/>
    </row>
    <row r="18" ht="15" customHeight="1" s="74">
      <c r="A18" s="43" t="n"/>
      <c r="C18" s="80" t="n"/>
      <c r="E18" s="60" t="n"/>
      <c r="I18" s="81" t="n"/>
    </row>
    <row r="19" ht="15" customHeight="1" s="74">
      <c r="A19" s="43" t="n"/>
      <c r="C19" s="80" t="n"/>
      <c r="E19" s="61" t="n"/>
      <c r="I19" s="81" t="n"/>
    </row>
    <row r="20" ht="15" customHeight="1" s="74">
      <c r="A20" s="43" t="n"/>
      <c r="C20" s="80" t="n"/>
      <c r="E20" s="61" t="n"/>
      <c r="I20" s="81" t="n"/>
      <c r="L20" s="89" t="n"/>
    </row>
    <row r="21" ht="13.5" customHeight="1" s="74">
      <c r="A21" s="43" t="n"/>
      <c r="C21" s="80" t="n"/>
      <c r="E21" s="61" t="n"/>
      <c r="I21" s="81" t="n"/>
    </row>
    <row r="22" ht="13.5" customHeight="1" s="74">
      <c r="A22" s="43" t="n"/>
      <c r="C22" s="80" t="n"/>
      <c r="E22" s="61" t="n"/>
      <c r="I22" s="81" t="n"/>
    </row>
    <row r="23" ht="13.5" customHeight="1" s="74">
      <c r="A23" s="43" t="n"/>
      <c r="C23" s="80" t="n"/>
      <c r="E23" s="61" t="n"/>
      <c r="I23" s="81" t="n"/>
    </row>
    <row r="24" ht="13.5" customHeight="1" s="74">
      <c r="A24" s="43" t="n"/>
      <c r="C24" s="80" t="n"/>
      <c r="E24" s="60" t="n"/>
      <c r="I24" s="81" t="n"/>
      <c r="J24" s="90" t="n"/>
    </row>
    <row r="25" ht="13.5" customHeight="1" s="74">
      <c r="A25" s="43" t="n"/>
      <c r="C25" s="80" t="n"/>
      <c r="E25" s="60" t="n"/>
      <c r="I25" s="81" t="n"/>
      <c r="J25" s="90" t="n"/>
      <c r="K25" s="90" t="n"/>
    </row>
    <row r="26" ht="13.5" customHeight="1" s="74">
      <c r="A26" s="43" t="n"/>
      <c r="C26" s="80" t="n"/>
      <c r="E26" s="60" t="n"/>
      <c r="I26" s="81" t="n"/>
      <c r="J26" s="0" t="inlineStr">
        <is>
          <t>숙박</t>
        </is>
      </c>
      <c r="K26" s="0" t="inlineStr">
        <is>
          <t>식사</t>
        </is>
      </c>
    </row>
    <row r="27" ht="13.5" customHeight="1" s="74">
      <c r="A27" s="82" t="n"/>
      <c r="C27" s="91" t="n"/>
      <c r="D27" s="91" t="n"/>
      <c r="E27" s="60" t="n"/>
      <c r="I27" s="81" t="n"/>
      <c r="J27" s="90">
        <f>SUMIF(E14:H37,"Accommodation*",I14:I37)</f>
        <v/>
      </c>
      <c r="K27" s="81">
        <f>SUMIF(E14:H37,"CAFÉ FOOD*",I14:I37)</f>
        <v/>
      </c>
      <c r="L27" s="90">
        <f>K27+J27</f>
        <v/>
      </c>
    </row>
    <row r="28" ht="13.5" customHeight="1" s="74">
      <c r="A28" s="16" t="n"/>
      <c r="C28" s="91" t="n"/>
      <c r="D28" s="91" t="n"/>
      <c r="E28" s="60" t="n"/>
      <c r="I28" s="81" t="n"/>
      <c r="K28" s="90" t="n"/>
    </row>
    <row r="29" ht="13.5" customHeight="1" s="74">
      <c r="A29" s="17" t="n"/>
      <c r="C29" s="91" t="n"/>
      <c r="D29" s="91" t="n"/>
      <c r="E29" s="60" t="n"/>
      <c r="I29" s="81" t="n"/>
      <c r="K29" s="90" t="n"/>
    </row>
    <row r="30" ht="13.5" customHeight="1" s="74">
      <c r="A30" s="17" t="n"/>
      <c r="C30" s="91" t="n"/>
      <c r="D30" s="91" t="n"/>
      <c r="E30" s="60" t="n"/>
      <c r="I30" s="81" t="n"/>
      <c r="K30" s="90" t="n"/>
    </row>
    <row r="31" ht="13.5" customHeight="1" s="74">
      <c r="A31" s="60" t="n"/>
      <c r="C31" s="80" t="n"/>
      <c r="E31" s="60" t="n"/>
      <c r="I31" s="81" t="n"/>
      <c r="K31" s="90" t="n"/>
    </row>
    <row r="32" ht="13.5" customHeight="1" s="74">
      <c r="A32" s="60" t="n"/>
      <c r="C32" s="80" t="n"/>
      <c r="E32" s="60" t="n"/>
      <c r="I32" s="81" t="n"/>
      <c r="K32" s="90" t="n"/>
    </row>
    <row r="33" ht="13.5" customHeight="1" s="74">
      <c r="A33" s="60" t="n"/>
      <c r="C33" s="80" t="n"/>
      <c r="D33" s="80" t="n"/>
      <c r="E33" s="60" t="n"/>
      <c r="F33" s="60" t="n"/>
      <c r="G33" s="60" t="n"/>
      <c r="H33" s="60" t="n"/>
      <c r="I33" s="81" t="n"/>
      <c r="K33" s="90" t="n"/>
    </row>
    <row r="34" ht="13.5" customHeight="1" s="74">
      <c r="A34" s="60" t="n"/>
      <c r="C34" s="80" t="n"/>
      <c r="D34" s="80" t="n"/>
      <c r="E34" s="60" t="n"/>
      <c r="F34" s="60" t="n"/>
      <c r="G34" s="60" t="n"/>
      <c r="H34" s="60" t="n"/>
      <c r="I34" s="81" t="n"/>
      <c r="K34" s="90" t="n"/>
    </row>
    <row r="35" ht="13.5" customHeight="1" s="74">
      <c r="A35" s="60" t="n"/>
      <c r="C35" s="80" t="n"/>
      <c r="D35" s="80" t="n"/>
      <c r="E35" s="60" t="n"/>
      <c r="F35" s="60" t="n"/>
      <c r="G35" s="60" t="n"/>
      <c r="H35" s="60" t="n"/>
      <c r="I35" s="81" t="n"/>
      <c r="K35" s="90" t="n"/>
    </row>
    <row r="36" ht="13.5" customHeight="1" s="74">
      <c r="A36" s="60" t="n"/>
      <c r="C36" s="80" t="n"/>
      <c r="D36" s="80" t="n"/>
      <c r="E36" s="60" t="n"/>
      <c r="F36" s="60" t="n"/>
      <c r="G36" s="60" t="n"/>
      <c r="H36" s="60" t="n"/>
      <c r="I36" s="81" t="n"/>
      <c r="K36" s="90" t="n"/>
    </row>
    <row r="37" ht="13.5" customHeight="1" s="74">
      <c r="A37" s="60" t="n"/>
      <c r="C37" s="80" t="n"/>
      <c r="E37" s="60" t="n"/>
      <c r="I37" s="81" t="n"/>
      <c r="K37" s="90" t="n"/>
    </row>
    <row r="38" ht="13.5" customHeight="1" s="74">
      <c r="A38" s="60" t="n"/>
      <c r="C38" s="80" t="n"/>
      <c r="D38" s="80" t="n"/>
      <c r="E38" s="60" t="n"/>
      <c r="F38" s="60" t="n"/>
      <c r="G38" s="60" t="n"/>
      <c r="H38" s="60" t="n"/>
      <c r="I38" s="81" t="n"/>
      <c r="K38" s="90" t="n"/>
    </row>
    <row r="39" ht="17.5" customHeight="1" s="74" thickBot="1">
      <c r="A39" s="60" t="n"/>
      <c r="C39" s="43" t="n"/>
      <c r="F39" s="46" t="inlineStr">
        <is>
          <t xml:space="preserve">TOTAL </t>
        </is>
      </c>
      <c r="G39" s="83" t="n"/>
      <c r="H39" s="5" t="inlineStr">
        <is>
          <t>KRW</t>
        </is>
      </c>
      <c r="I39" s="92">
        <f>SUM(I14:I37)</f>
        <v/>
      </c>
    </row>
    <row r="40" ht="6" customHeight="1" s="74">
      <c r="C40" s="43" t="n"/>
      <c r="F40" s="43" t="n"/>
      <c r="H40" s="60" t="n"/>
    </row>
    <row r="41" ht="17.5" customHeight="1" s="74" thickBot="1">
      <c r="C41" s="43" t="n"/>
      <c r="F41" s="46" t="inlineStr">
        <is>
          <t>BALANCE DUE</t>
        </is>
      </c>
      <c r="G41" s="83" t="n"/>
      <c r="H41" s="5" t="inlineStr">
        <is>
          <t>KRW</t>
        </is>
      </c>
      <c r="I41" s="6" t="n"/>
    </row>
    <row r="42">
      <c r="C42" s="43" t="n"/>
    </row>
    <row r="43">
      <c r="A43" s="9" t="inlineStr">
        <is>
          <t>I agree that my liability for this bill is not waived and agree to hold personal liability in this case that the</t>
        </is>
      </c>
    </row>
    <row r="44">
      <c r="A44" s="9" t="inlineStr">
        <is>
          <t>indicated person, company or association fails to pay for part or the whole amount of the charges.</t>
        </is>
      </c>
    </row>
    <row r="45">
      <c r="A45" s="9" t="inlineStr">
        <is>
          <t>본인은 본 청구 금액에 대해 지급 의무를 거부하지 않으며, 청구 금액의 전액 또는 일부를 지정인,</t>
        </is>
      </c>
    </row>
    <row r="46">
      <c r="A46" s="9" t="inlineStr">
        <is>
          <t>지정회사, 지정단체에서 지급하지 않을 경우 본인이 책임질 것에 동의합니다.</t>
        </is>
      </c>
    </row>
  </sheetData>
  <mergeCells count="57">
    <mergeCell ref="E26:H26"/>
    <mergeCell ref="C24:D24"/>
    <mergeCell ref="C8:F8"/>
    <mergeCell ref="C15:D15"/>
    <mergeCell ref="C42:D42"/>
    <mergeCell ref="E16:H16"/>
    <mergeCell ref="C14:D14"/>
    <mergeCell ref="E25:H25"/>
    <mergeCell ref="G8:H8"/>
    <mergeCell ref="F40:G40"/>
    <mergeCell ref="E32:H32"/>
    <mergeCell ref="A12:I12"/>
    <mergeCell ref="C26:D26"/>
    <mergeCell ref="E37:H37"/>
    <mergeCell ref="E22:H22"/>
    <mergeCell ref="C20:D20"/>
    <mergeCell ref="E18:H18"/>
    <mergeCell ref="C16:D16"/>
    <mergeCell ref="C25:D25"/>
    <mergeCell ref="G10:H10"/>
    <mergeCell ref="C41:D41"/>
    <mergeCell ref="E21:H21"/>
    <mergeCell ref="C22:D22"/>
    <mergeCell ref="C40:D40"/>
    <mergeCell ref="C31:D31"/>
    <mergeCell ref="F41:G41"/>
    <mergeCell ref="E24:H24"/>
    <mergeCell ref="E14:H14"/>
    <mergeCell ref="E17:H17"/>
    <mergeCell ref="E23:H23"/>
    <mergeCell ref="C21:D21"/>
    <mergeCell ref="E20:H20"/>
    <mergeCell ref="E29:H29"/>
    <mergeCell ref="C10:F10"/>
    <mergeCell ref="E19:H19"/>
    <mergeCell ref="A8:B8"/>
    <mergeCell ref="C17:D17"/>
    <mergeCell ref="E28:H28"/>
    <mergeCell ref="C23:D23"/>
    <mergeCell ref="C39:D39"/>
    <mergeCell ref="E13:H13"/>
    <mergeCell ref="C9:F9"/>
    <mergeCell ref="F39:G39"/>
    <mergeCell ref="C32:D32"/>
    <mergeCell ref="E31:H31"/>
    <mergeCell ref="A10:B10"/>
    <mergeCell ref="C19:D19"/>
    <mergeCell ref="E30:H30"/>
    <mergeCell ref="C37:D37"/>
    <mergeCell ref="H5:I5"/>
    <mergeCell ref="E15:H15"/>
    <mergeCell ref="C13:D13"/>
    <mergeCell ref="C11:F11"/>
    <mergeCell ref="C18:D18"/>
    <mergeCell ref="A9:B9"/>
    <mergeCell ref="G9:H9"/>
    <mergeCell ref="E27:H27"/>
  </mergeCells>
  <printOptions horizontalCentered="1" verticalCentered="0" gridLines="0"/>
  <pageMargins left="0.2" right="0.2" top="0.25" bottom="0.25" header="0.1" footer="0.1"/>
  <pageSetup orientation="portrait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L46"/>
  <sheetViews>
    <sheetView workbookViewId="0">
      <selection activeCell="A1" sqref="A1"/>
    </sheetView>
  </sheetViews>
  <sheetFormatPr baseColWidth="8" defaultRowHeight="17"/>
  <cols>
    <col width="9.08203125" bestFit="1" customWidth="1" style="74" min="1" max="1"/>
    <col width="2.58203125" customWidth="1" style="74" min="2" max="2"/>
    <col width="9.08203125" bestFit="1" customWidth="1" style="74" min="3" max="3"/>
    <col width="6.08203125" customWidth="1" style="74" min="5" max="5"/>
    <col width="6.58203125" customWidth="1" style="74" min="6" max="6"/>
    <col width="11.25" customWidth="1" style="74" min="7" max="8"/>
    <col width="15.33203125" customWidth="1" style="74" min="9" max="9"/>
    <col width="10.75" bestFit="1" customWidth="1" style="74" min="10" max="10"/>
    <col width="9.75" bestFit="1" customWidth="1" style="74" min="11" max="11"/>
    <col width="10.75" bestFit="1" customWidth="1" style="74" min="12" max="12"/>
  </cols>
  <sheetData>
    <row r="1" ht="25.5" customHeight="1" s="74">
      <c r="A1" s="11" t="inlineStr">
        <is>
          <t>HOTEL RESTAURANT</t>
        </is>
      </c>
      <c r="B1" s="2" t="n"/>
    </row>
    <row r="2">
      <c r="A2" s="12" t="inlineStr">
        <is>
          <t>14, Saneup-ro 647 beon-gil, Nam-gu,</t>
        </is>
      </c>
      <c r="B2" s="2" t="n"/>
    </row>
    <row r="3">
      <c r="A3" s="12" t="inlineStr">
        <is>
          <t>ULSAN, Korea</t>
        </is>
      </c>
      <c r="B3" s="2" t="n"/>
    </row>
    <row r="4">
      <c r="A4" s="12" t="inlineStr">
        <is>
          <t>Tel : +82-52-267-7777</t>
        </is>
      </c>
      <c r="B4" s="2" t="n"/>
    </row>
    <row r="5" ht="21" customHeight="1" s="74">
      <c r="A5" s="12" t="inlineStr">
        <is>
          <t>Fax : +82-52-917-8255</t>
        </is>
      </c>
      <c r="B5" s="2" t="n"/>
      <c r="H5" s="53" t="inlineStr">
        <is>
          <t>HOTEL YEOUBI</t>
        </is>
      </c>
    </row>
    <row r="6"/>
    <row r="7">
      <c r="A7" s="10" t="inlineStr">
        <is>
          <t xml:space="preserve">Agent name : </t>
        </is>
      </c>
      <c r="B7" s="4" t="n"/>
      <c r="C7" s="45" t="inlineStr">
        <is>
          <t>Dongjin Shipping</t>
        </is>
      </c>
      <c r="D7" s="45" t="n"/>
      <c r="E7" s="45" t="n"/>
      <c r="F7" s="45" t="n"/>
      <c r="G7" s="21" t="n"/>
      <c r="H7" s="2" t="n"/>
      <c r="I7" s="2" t="n"/>
    </row>
    <row r="8">
      <c r="A8" s="45" t="inlineStr">
        <is>
          <t xml:space="preserve">Vessel name : </t>
        </is>
      </c>
      <c r="C8" s="45" t="inlineStr">
        <is>
          <t>d</t>
        </is>
      </c>
      <c r="G8" s="54" t="inlineStr">
        <is>
          <t>Room  No :</t>
        </is>
      </c>
      <c r="I8" s="85" t="inlineStr">
        <is>
          <t>d</t>
        </is>
      </c>
    </row>
    <row r="9" ht="18" customHeight="1" s="74">
      <c r="A9" s="45" t="inlineStr">
        <is>
          <t>Guest name :</t>
        </is>
      </c>
      <c r="C9" s="86" t="inlineStr">
        <is>
          <t>qwe</t>
        </is>
      </c>
      <c r="G9" s="54" t="inlineStr">
        <is>
          <t>Nationality :</t>
        </is>
      </c>
      <c r="I9" s="87" t="inlineStr">
        <is>
          <t>phl</t>
        </is>
      </c>
    </row>
    <row r="10">
      <c r="A10" s="55" t="inlineStr">
        <is>
          <t xml:space="preserve">Check in Date : </t>
        </is>
      </c>
      <c r="C10" s="75" t="n">
        <v>46102</v>
      </c>
      <c r="G10" s="56" t="inlineStr">
        <is>
          <t xml:space="preserve">Check out Date : </t>
        </is>
      </c>
      <c r="I10" s="75" t="n">
        <v>46104</v>
      </c>
    </row>
    <row r="11">
      <c r="A11" s="3" t="n"/>
      <c r="C11" s="59" t="inlineStr">
        <is>
          <t>10:00</t>
        </is>
      </c>
      <c r="I11" s="59" t="inlineStr">
        <is>
          <t>12:00</t>
        </is>
      </c>
    </row>
    <row r="12" ht="26" customHeight="1" s="74">
      <c r="A12" s="57" t="inlineStr">
        <is>
          <t>INVOICE</t>
        </is>
      </c>
    </row>
    <row r="13">
      <c r="A13" s="49" t="inlineStr">
        <is>
          <t>NO</t>
        </is>
      </c>
      <c r="B13" s="93" t="n"/>
      <c r="C13" s="49" t="inlineStr">
        <is>
          <t>DATE</t>
        </is>
      </c>
      <c r="D13" s="93" t="n"/>
      <c r="E13" s="49" t="inlineStr">
        <is>
          <t>DESCRIPTION</t>
        </is>
      </c>
      <c r="F13" s="77" t="n"/>
      <c r="G13" s="77" t="n"/>
      <c r="H13" s="76" t="n"/>
      <c r="I13" s="49" t="inlineStr">
        <is>
          <t>AMOUNT</t>
        </is>
      </c>
    </row>
    <row r="14" ht="15" customHeight="1" s="74">
      <c r="A14" s="94" t="n"/>
      <c r="B14" s="95" t="n"/>
      <c r="C14" s="94" t="n"/>
      <c r="D14" s="95" t="n"/>
      <c r="E14" s="49" t="inlineStr">
        <is>
          <t>Breakfast</t>
        </is>
      </c>
      <c r="F14" s="76" t="n"/>
      <c r="G14" s="49" t="inlineStr">
        <is>
          <t>Lunch</t>
        </is>
      </c>
      <c r="H14" s="24" t="inlineStr">
        <is>
          <t>Dinner</t>
        </is>
      </c>
      <c r="I14" s="96" t="n"/>
    </row>
    <row r="15" ht="15" customHeight="1" s="74">
      <c r="A15" s="97" t="n">
        <v>1</v>
      </c>
      <c r="B15" s="98" t="n"/>
      <c r="C15" s="99" t="n">
        <v>46102</v>
      </c>
      <c r="D15" s="98" t="n"/>
      <c r="E15" s="100" t="n">
        <v>0</v>
      </c>
      <c r="F15" s="98" t="n"/>
      <c r="G15" s="100" t="n">
        <v>25000</v>
      </c>
      <c r="H15" s="100" t="n">
        <v>25000</v>
      </c>
      <c r="I15" s="100">
        <f>SUM(E15,G15:H15)</f>
        <v/>
      </c>
    </row>
    <row r="16" ht="15" customHeight="1" s="74">
      <c r="A16" s="101" t="n">
        <v>2</v>
      </c>
      <c r="B16" s="76" t="n"/>
      <c r="C16" s="102" t="n">
        <v>46103</v>
      </c>
      <c r="D16" s="76" t="n"/>
      <c r="E16" s="103" t="n">
        <v>0</v>
      </c>
      <c r="F16" s="76" t="n"/>
      <c r="G16" s="100" t="n">
        <v>25000</v>
      </c>
      <c r="H16" s="100" t="n">
        <v>25000</v>
      </c>
      <c r="I16" s="100">
        <f>SUM(E16,G16:H16)</f>
        <v/>
      </c>
      <c r="J16" s="104" t="n"/>
      <c r="K16" s="104" t="n"/>
      <c r="L16" s="104" t="n"/>
    </row>
    <row r="17" ht="15" customHeight="1" s="74">
      <c r="A17" s="101" t="n">
        <v>3</v>
      </c>
      <c r="B17" s="76" t="n"/>
      <c r="C17" s="102" t="n">
        <v>46104</v>
      </c>
      <c r="D17" s="76" t="n"/>
      <c r="E17" s="103" t="n">
        <v>0</v>
      </c>
      <c r="F17" s="76" t="n"/>
      <c r="G17" s="100" t="n">
        <v>25000</v>
      </c>
      <c r="H17" s="100" t="n">
        <v>25000</v>
      </c>
      <c r="I17" s="100">
        <f>SUM(E17,G17:H17)</f>
        <v/>
      </c>
      <c r="J17" s="104" t="n"/>
      <c r="K17" s="104" t="n"/>
      <c r="L17" s="104" t="n"/>
    </row>
    <row r="18" ht="15" customHeight="1" s="74">
      <c r="A18" s="43" t="n"/>
      <c r="C18" s="80" t="n"/>
      <c r="E18" s="105" t="n"/>
      <c r="G18" s="105" t="n"/>
      <c r="H18" s="105" t="n"/>
      <c r="I18" s="105" t="n"/>
    </row>
    <row r="19" ht="15" customHeight="1" s="74">
      <c r="A19" s="43" t="n"/>
      <c r="C19" s="80" t="n"/>
      <c r="E19" s="105" t="n"/>
      <c r="G19" s="105" t="n"/>
      <c r="H19" s="105" t="n"/>
      <c r="I19" s="105" t="n"/>
      <c r="L19" s="89" t="n"/>
    </row>
    <row r="20" ht="15" customHeight="1" s="74">
      <c r="A20" s="43" t="n"/>
      <c r="C20" s="80" t="n"/>
      <c r="E20" s="105" t="n"/>
      <c r="G20" s="105" t="n"/>
      <c r="H20" s="105" t="n"/>
      <c r="I20" s="105" t="n"/>
    </row>
    <row r="21" ht="13.5" customHeight="1" s="74">
      <c r="A21" s="43" t="n"/>
      <c r="C21" s="80" t="n"/>
      <c r="E21" s="105" t="n"/>
      <c r="G21" s="105" t="n"/>
      <c r="H21" s="105" t="n"/>
      <c r="I21" s="105" t="n"/>
    </row>
    <row r="22" ht="13.5" customHeight="1" s="74">
      <c r="A22" s="43" t="n"/>
      <c r="C22" s="80" t="n"/>
      <c r="E22" s="105" t="n"/>
      <c r="G22" s="105" t="n"/>
      <c r="H22" s="105" t="n"/>
      <c r="I22" s="105" t="n"/>
    </row>
    <row r="23" ht="13.5" customHeight="1" s="74">
      <c r="A23" s="43" t="n"/>
      <c r="C23" s="80" t="n"/>
      <c r="E23" s="105" t="n"/>
      <c r="G23" s="105" t="n"/>
      <c r="H23" s="105" t="n"/>
      <c r="I23" s="105" t="n"/>
      <c r="J23" s="90" t="n"/>
    </row>
    <row r="24" ht="13.5" customHeight="1" s="74">
      <c r="A24" s="43" t="n"/>
      <c r="C24" s="80" t="n"/>
      <c r="E24" s="105" t="n"/>
      <c r="G24" s="105" t="n"/>
      <c r="H24" s="105" t="n"/>
      <c r="I24" s="105" t="n"/>
      <c r="J24" s="90" t="n"/>
      <c r="K24" s="90" t="n"/>
    </row>
    <row r="25" ht="13.5" customHeight="1" s="74">
      <c r="A25" s="43" t="n"/>
      <c r="C25" s="80" t="n"/>
      <c r="E25" s="105" t="n"/>
      <c r="G25" s="105" t="n"/>
      <c r="H25" s="105" t="n"/>
      <c r="I25" s="105" t="n"/>
      <c r="J25" s="0" t="inlineStr">
        <is>
          <t>숙박</t>
        </is>
      </c>
      <c r="K25" s="0" t="inlineStr">
        <is>
          <t>식사</t>
        </is>
      </c>
    </row>
    <row r="26" ht="13.5" customHeight="1" s="74">
      <c r="A26" s="43" t="n"/>
      <c r="C26" s="80" t="n"/>
      <c r="E26" s="80" t="n"/>
      <c r="G26" s="105" t="n"/>
      <c r="H26" s="105" t="n"/>
      <c r="I26" s="105" t="n"/>
      <c r="J26" s="90">
        <f>SUMIF(E14:H38,"Accommodation*",I14:I38)</f>
        <v/>
      </c>
      <c r="K26" s="81">
        <f>SUMIF(E14:H38,"CAFÉ FOOD*",I14:I38)</f>
        <v/>
      </c>
      <c r="L26" s="90">
        <f>K26+J26</f>
        <v/>
      </c>
    </row>
    <row r="27" ht="13.5" customHeight="1" s="74">
      <c r="A27" s="43" t="n"/>
      <c r="C27" s="80" t="n"/>
      <c r="E27" s="80" t="n"/>
      <c r="G27" s="105" t="n"/>
      <c r="H27" s="105" t="n"/>
      <c r="I27" s="105" t="n"/>
      <c r="K27" s="90" t="n"/>
    </row>
    <row r="28" ht="13.5" customHeight="1" s="74">
      <c r="A28" s="43" t="n"/>
      <c r="C28" s="80" t="n"/>
      <c r="E28" s="91" t="n"/>
      <c r="F28" s="91" t="n"/>
      <c r="G28" s="106" t="inlineStr">
        <is>
          <t>LUNCH</t>
        </is>
      </c>
      <c r="H28" s="106" t="inlineStr">
        <is>
          <t>1Person</t>
        </is>
      </c>
      <c r="I28" s="105" t="n"/>
      <c r="K28" s="90" t="n"/>
    </row>
    <row r="29" ht="13.5" customHeight="1" s="74">
      <c r="A29" s="82" t="n"/>
      <c r="B29" s="23" t="n"/>
      <c r="C29" s="23" t="n"/>
      <c r="D29" s="23" t="n"/>
      <c r="E29" s="80" t="n"/>
      <c r="G29" s="106" t="inlineStr">
        <is>
          <t>DINNER</t>
        </is>
      </c>
      <c r="H29" s="106" t="inlineStr">
        <is>
          <t>1Person</t>
        </is>
      </c>
      <c r="I29" s="105" t="n"/>
      <c r="K29" s="90" t="n"/>
    </row>
    <row r="30" ht="13.5" customHeight="1" s="74">
      <c r="A30" s="82" t="n"/>
      <c r="B30" s="16" t="n"/>
      <c r="C30" s="16" t="n"/>
      <c r="D30" s="16" t="n"/>
      <c r="G30" s="105" t="n"/>
      <c r="H30" s="105" t="n"/>
      <c r="I30" s="105" t="n"/>
      <c r="K30" s="90" t="n"/>
    </row>
    <row r="31" ht="13.5" customHeight="1" s="74">
      <c r="A31" s="82" t="n"/>
      <c r="B31" s="16" t="n"/>
      <c r="C31" s="16" t="n"/>
      <c r="D31" s="16" t="n"/>
      <c r="E31" s="80" t="n"/>
      <c r="G31" s="105" t="n"/>
      <c r="H31" s="105" t="n"/>
      <c r="I31" s="105" t="n"/>
      <c r="K31" s="90" t="n"/>
    </row>
    <row r="32" ht="13.5" customHeight="1" s="74">
      <c r="A32" s="17" t="n"/>
      <c r="B32" s="17" t="n"/>
      <c r="C32" s="17" t="n"/>
      <c r="D32" s="17" t="n"/>
      <c r="G32" s="105" t="n"/>
      <c r="H32" s="105" t="n"/>
      <c r="I32" s="105" t="n"/>
      <c r="K32" s="90" t="n"/>
    </row>
    <row r="33" ht="13.5" customHeight="1" s="74">
      <c r="A33" s="17" t="n"/>
      <c r="B33" s="43" t="n"/>
      <c r="C33" s="80" t="n"/>
      <c r="D33" s="80" t="n"/>
      <c r="E33" s="105" t="n"/>
      <c r="F33" s="105" t="n"/>
      <c r="G33" s="105" t="n"/>
      <c r="H33" s="105" t="n"/>
      <c r="I33" s="105" t="n"/>
      <c r="K33" s="90" t="n"/>
    </row>
    <row r="34" ht="13.5" customHeight="1" s="74">
      <c r="A34" s="17" t="n"/>
      <c r="B34" s="43" t="n"/>
      <c r="C34" s="80" t="n"/>
      <c r="D34" s="80" t="n"/>
      <c r="E34" s="105" t="n"/>
      <c r="F34" s="105" t="n"/>
      <c r="G34" s="105" t="n"/>
      <c r="H34" s="105" t="n"/>
      <c r="I34" s="105" t="n"/>
      <c r="K34" s="90" t="n"/>
    </row>
    <row r="35" ht="13.5" customHeight="1" s="74">
      <c r="A35" s="17" t="n"/>
      <c r="B35" s="43" t="n"/>
      <c r="C35" s="80" t="n"/>
      <c r="D35" s="80" t="n"/>
      <c r="E35" s="105" t="n"/>
      <c r="F35" s="105" t="n"/>
      <c r="G35" s="105" t="n"/>
      <c r="H35" s="105" t="n"/>
      <c r="I35" s="105" t="n"/>
      <c r="K35" s="90" t="n"/>
    </row>
    <row r="36" ht="13.5" customHeight="1" s="74">
      <c r="A36" s="43" t="n"/>
      <c r="B36" s="43" t="n"/>
      <c r="C36" s="80" t="n"/>
      <c r="D36" s="80" t="n"/>
      <c r="E36" s="105" t="n"/>
      <c r="F36" s="105" t="n"/>
      <c r="G36" s="105" t="n"/>
      <c r="H36" s="105" t="n"/>
      <c r="I36" s="105" t="n"/>
      <c r="K36" s="90" t="n"/>
    </row>
    <row r="37" ht="13.5" customHeight="1" s="74">
      <c r="A37" s="43" t="n"/>
      <c r="B37" s="43" t="n"/>
      <c r="C37" s="80" t="n"/>
      <c r="D37" s="80" t="n"/>
      <c r="E37" s="105" t="n"/>
      <c r="F37" s="105" t="n"/>
      <c r="G37" s="105" t="n"/>
      <c r="H37" s="105" t="n"/>
      <c r="I37" s="105" t="n"/>
      <c r="K37" s="90" t="n"/>
    </row>
    <row r="38" ht="13.5" customHeight="1" s="74">
      <c r="A38" s="43" t="n"/>
      <c r="C38" s="80" t="n"/>
      <c r="E38" s="105" t="n"/>
      <c r="G38" s="105" t="n"/>
      <c r="H38" s="105" t="n"/>
      <c r="I38" s="105" t="n"/>
      <c r="K38" s="90" t="n"/>
    </row>
    <row r="39" ht="13.5" customHeight="1" s="74" thickBot="1">
      <c r="A39" s="60" t="n"/>
      <c r="C39" s="43" t="n"/>
      <c r="F39" s="47" t="inlineStr">
        <is>
          <t xml:space="preserve">TOTAL </t>
        </is>
      </c>
      <c r="G39" s="83" t="n"/>
      <c r="H39" s="19" t="inlineStr">
        <is>
          <t>KRW</t>
        </is>
      </c>
      <c r="I39" s="107">
        <f>SUM(I15:I38)</f>
        <v/>
      </c>
    </row>
    <row r="40">
      <c r="C40" s="43" t="n"/>
      <c r="F40" s="43" t="n"/>
      <c r="H40" s="60" t="n"/>
    </row>
    <row r="41" ht="13.5" customHeight="1" s="74" thickBot="1">
      <c r="C41" s="43" t="n"/>
      <c r="F41" s="46" t="inlineStr">
        <is>
          <t>BALANCE DUE</t>
        </is>
      </c>
      <c r="G41" s="83" t="n"/>
      <c r="H41" s="5" t="inlineStr">
        <is>
          <t>KRW</t>
        </is>
      </c>
      <c r="I41" s="6" t="n"/>
    </row>
    <row r="42">
      <c r="C42" s="43" t="n"/>
    </row>
    <row r="43">
      <c r="A43" s="9" t="inlineStr">
        <is>
          <t>I agree that my liability for this bill is not waived and agree to hold personal liability in this case that the</t>
        </is>
      </c>
    </row>
    <row r="44">
      <c r="A44" s="9" t="inlineStr">
        <is>
          <t>indicated person, company or association fails to pay for part or the whole amount of the charges.</t>
        </is>
      </c>
    </row>
    <row r="45">
      <c r="A45" s="9" t="inlineStr">
        <is>
          <t>본인은 본 청구 금액에 대해 지급 의무를 거부하지 않으며, 청구 금액의 전액 또는 일부를 지정인,</t>
        </is>
      </c>
    </row>
    <row r="46">
      <c r="A46" s="9" t="inlineStr">
        <is>
          <t>지정회사, 지정단체에서 지급하지 않을 경우 본인이 책임질 것에 동의합니다.</t>
        </is>
      </c>
    </row>
  </sheetData>
  <mergeCells count="70">
    <mergeCell ref="A24:B24"/>
    <mergeCell ref="A15:B15"/>
    <mergeCell ref="C24:D24"/>
    <mergeCell ref="C8:F8"/>
    <mergeCell ref="C15:D15"/>
    <mergeCell ref="E24:F24"/>
    <mergeCell ref="C42:D42"/>
    <mergeCell ref="E31:F32"/>
    <mergeCell ref="E23:F23"/>
    <mergeCell ref="E14:F14"/>
    <mergeCell ref="G8:H8"/>
    <mergeCell ref="A12:I12"/>
    <mergeCell ref="E17:F17"/>
    <mergeCell ref="F40:G40"/>
    <mergeCell ref="C26:D26"/>
    <mergeCell ref="C20:D20"/>
    <mergeCell ref="A13:B14"/>
    <mergeCell ref="E20:F20"/>
    <mergeCell ref="E38:F38"/>
    <mergeCell ref="A16:B16"/>
    <mergeCell ref="A25:B25"/>
    <mergeCell ref="C16:D16"/>
    <mergeCell ref="C25:D25"/>
    <mergeCell ref="G10:H10"/>
    <mergeCell ref="C41:D41"/>
    <mergeCell ref="E19:F19"/>
    <mergeCell ref="C22:D22"/>
    <mergeCell ref="C40:D40"/>
    <mergeCell ref="C13:D14"/>
    <mergeCell ref="A27:B27"/>
    <mergeCell ref="A18:B18"/>
    <mergeCell ref="F41:G41"/>
    <mergeCell ref="A26:B26"/>
    <mergeCell ref="A21:B21"/>
    <mergeCell ref="C21:D21"/>
    <mergeCell ref="E15:F15"/>
    <mergeCell ref="C27:D27"/>
    <mergeCell ref="I13:I14"/>
    <mergeCell ref="E27:F27"/>
    <mergeCell ref="A23:B23"/>
    <mergeCell ref="C10:F10"/>
    <mergeCell ref="C23:D23"/>
    <mergeCell ref="A17:B17"/>
    <mergeCell ref="E26:F26"/>
    <mergeCell ref="A22:B22"/>
    <mergeCell ref="A8:B8"/>
    <mergeCell ref="E13:H13"/>
    <mergeCell ref="C39:D39"/>
    <mergeCell ref="C17:D17"/>
    <mergeCell ref="F39:G39"/>
    <mergeCell ref="A38:B38"/>
    <mergeCell ref="A20:B20"/>
    <mergeCell ref="C9:F9"/>
    <mergeCell ref="C38:D38"/>
    <mergeCell ref="E16:F16"/>
    <mergeCell ref="E25:F25"/>
    <mergeCell ref="E29:F30"/>
    <mergeCell ref="A19:B19"/>
    <mergeCell ref="C19:D19"/>
    <mergeCell ref="A28:B28"/>
    <mergeCell ref="A10:B10"/>
    <mergeCell ref="C28:D28"/>
    <mergeCell ref="H5:I5"/>
    <mergeCell ref="E22:F22"/>
    <mergeCell ref="C11:F11"/>
    <mergeCell ref="C18:D18"/>
    <mergeCell ref="A9:B9"/>
    <mergeCell ref="G9:H9"/>
    <mergeCell ref="E18:F18"/>
    <mergeCell ref="E21:F21"/>
  </mergeCells>
  <printOptions horizontalCentered="1" verticalCentered="0" gridLines="0"/>
  <pageMargins left="0.2" right="0.2" top="0.25" bottom="0.25" header="0.1" footer="0.1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joy</dc:creator>
  <dcterms:created xsi:type="dcterms:W3CDTF">2016-09-20T06:40:05Z</dcterms:created>
  <dcterms:modified xsi:type="dcterms:W3CDTF">2026-03-21T08:04:45Z</dcterms:modified>
  <cp:lastModifiedBy>JH MARINE</cp:lastModifiedBy>
  <cp:lastPrinted>2026-03-18T05:39:39Z</cp:lastPrinted>
</cp:coreProperties>
</file>